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b420b5d8ea4e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WS WAF Audit Framework" sheetId="1" r:id="Rb99db344ac034e88"/>
    <x:sheet xmlns:r="http://schemas.openxmlformats.org/officeDocument/2006/relationships" name="Readiness Summary" sheetId="2" r:id="Ra581b190ddd742dc"/>
    <x:sheet xmlns:r="http://schemas.openxmlformats.org/officeDocument/2006/relationships" name="PRISM Connector Mapping" sheetId="3" r:id="Re5c67c618687431d"/>
    <x:sheet xmlns:r="http://schemas.openxmlformats.org/officeDocument/2006/relationships" name="Sources" sheetId="4" r:id="R8fb200e2893745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32F3E"/>
      </x:patternFill>
    </x:fill>
    <x:fill>
      <x:patternFill patternType="solid">
        <x:fgColor rgb="FFFF9900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1" fontId="3" fillId="3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3"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70cf4292ed49d9" /><Relationship Type="http://schemas.openxmlformats.org/officeDocument/2006/relationships/theme" Target="/xl/theme/theme1.xml" Id="R5052b56a8785484e" /><Relationship Type="http://schemas.openxmlformats.org/officeDocument/2006/relationships/sharedStrings" Target="/xl/sharedStrings.xml" Id="R0be2476bbc174101" /><Relationship Type="http://schemas.openxmlformats.org/officeDocument/2006/relationships/worksheet" Target="/xl/worksheets/sheet1.xml" Id="Rb99db344ac034e88" /><Relationship Type="http://schemas.openxmlformats.org/officeDocument/2006/relationships/worksheet" Target="/xl/worksheets/sheet2.xml" Id="Ra581b190ddd742dc" /><Relationship Type="http://schemas.openxmlformats.org/officeDocument/2006/relationships/worksheet" Target="/xl/worksheets/sheet3.xml" Id="Re5c67c618687431d" /><Relationship Type="http://schemas.openxmlformats.org/officeDocument/2006/relationships/worksheet" Target="/xl/worksheets/sheet4.xml" Id="R8fb200e2893745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2" hidden="0" customWidth="1"/>
    <x:col min="4" max="4" width="52" hidden="0" customWidth="1"/>
    <x:col min="5" max="5" width="34" hidden="0" customWidth="1"/>
    <x:col min="6" max="6" width="16" hidden="0" customWidth="1"/>
    <x:col min="7" max="7" width="30" hidden="0" customWidth="1"/>
    <x:col min="8" max="8" width="24" hidden="0" customWidth="1"/>
    <x:col min="9" max="9" width="44" hidden="0" customWidth="1"/>
    <x:col min="10" max="10" width="58" hidden="0" customWidth="1"/>
    <x:col min="11" max="11" width="52" hidden="0" customWidth="1"/>
    <x:col min="12" max="12" width="18" hidden="0" customWidth="1"/>
    <x:col min="13" max="13" width="10" hidden="0" customWidth="1"/>
    <x:col min="14" max="14" width="38" hidden="0" customWidth="1"/>
    <x:col min="15" max="15" width="24" hidden="0" customWidth="1"/>
    <x:col min="16" max="16" width="16" hidden="0" customWidth="1"/>
  </x:cols>
  <x:sheetData>
    <x:row r="1" ht="34" customHeight="1">
      <x:c r="A1" s="25" t="str">
        <x:v>Module Grouping</x:v>
      </x:c>
      <x:c r="B1" s="25" t="str">
        <x:v>Module ID</x:v>
      </x:c>
      <x:c r="C1" s="25" t="str">
        <x:v>Question ID</x:v>
      </x:c>
      <x:c r="D1" s="25" t="str">
        <x:v>Question Text</x:v>
      </x:c>
      <x:c r="E1" s="25" t="str">
        <x:v>Control Area</x:v>
      </x:c>
      <x:c r="F1" s="25" t="str">
        <x:v>AWS WAF Reference</x:v>
      </x:c>
      <x:c r="G1" s="25" t="str">
        <x:v>Owner</x:v>
      </x:c>
      <x:c r="H1" s="25" t="str">
        <x:v>Frequency</x:v>
      </x:c>
      <x:c r="I1" s="25" t="str">
        <x:v>Purpose / Description</x:v>
      </x:c>
      <x:c r="J1" s="25" t="str">
        <x:v>Audit-Ready Criteria</x:v>
      </x:c>
      <x:c r="K1" s="25" t="str">
        <x:v>Required Evidence</x:v>
      </x:c>
      <x:c r="L1" s="25" t="str">
        <x:v>Assessment Status</x:v>
      </x:c>
      <x:c r="M1" s="25" t="str">
        <x:v>Score</x:v>
      </x:c>
      <x:c r="N1" s="25" t="str">
        <x:v>Gap / Observation</x:v>
      </x:c>
      <x:c r="O1" s="25" t="str">
        <x:v>Remediation Owner</x:v>
      </x:c>
      <x:c r="P1" s="25" t="str">
        <x:v>Target Date</x:v>
      </x:c>
    </x:row>
    <x:row r="2">
      <x:c r="A2" s="14" t="str">
        <x:v>PRISM</x:v>
      </x:c>
      <x:c r="B2" s="14" t="str">
        <x:v>Operational Excellence — Organization</x:v>
      </x:c>
      <x:c r="C2" s="14" t="str">
        <x:v>OPS 1</x:v>
      </x:c>
      <x:c r="D2" s="14" t="str">
        <x:v>How do you determine what your priorities are?</x:v>
      </x:c>
      <x:c r="E2" s="14" t="str">
        <x:v>Priorities, governance, compliance, threats and trade-offs</x:v>
      </x:c>
      <x:c r="F2" s="14" t="str">
        <x:v>OPS 1</x:v>
      </x:c>
      <x:c r="G2" s="14" t="str">
        <x:v>Cloud Operations / Platform Engineering</x:v>
      </x:c>
      <x:c r="H2" s="14" t="str">
        <x:v>Quarterly + material architecture change</x:v>
      </x:c>
      <x:c r="I2" s="14" t="str">
        <x:v>Assess the workload against the AWS Well-Architected Operational Excellence pillar for priorities, governance, compliance, threats and trade-offs.</x:v>
      </x:c>
      <x:c r="J2" s="14" t="str">
        <x:v>Evidence demonstrates that priorities, governance, compliance, threats and trade-offs are intentionally designed, implemented, measured and reviewed; ownership is assigned; exceptions are documented; and gaps are remediated or risk-accepted.</x:v>
      </x:c>
      <x:c r="K2" s="14" t="str">
        <x:v>Architecture diagrams; IaC repositories; deployment records; CloudWatch dashboards/alarms; runbooks; incident/change records; post-incident reviews</x:v>
      </x:c>
      <x:c r="L2" s="14" t="str">
        <x:v>Not Assessed</x:v>
      </x:c>
      <x:c r="M2" s="14"/>
      <x:c r="N2" s="14"/>
      <x:c r="O2" s="14"/>
      <x:c r="P2" s="14"/>
    </x:row>
    <x:row r="3">
      <x:c r="A3" s="14" t="str">
        <x:v>PRISM</x:v>
      </x:c>
      <x:c r="B3" s="14" t="str">
        <x:v>Operational Excellence — Organization</x:v>
      </x:c>
      <x:c r="C3" s="14" t="str">
        <x:v>OPS 2</x:v>
      </x:c>
      <x:c r="D3" s="14" t="str">
        <x:v>How do you structure your organization to support your business outcomes?</x:v>
      </x:c>
      <x:c r="E3" s="14" t="str">
        <x:v>Ownership, responsibilities and operating model</x:v>
      </x:c>
      <x:c r="F3" s="14" t="str">
        <x:v>OPS 2</x:v>
      </x:c>
      <x:c r="G3" s="14" t="str">
        <x:v>Cloud Operations / Platform Engineering</x:v>
      </x:c>
      <x:c r="H3" s="14" t="str">
        <x:v>Quarterly + material architecture change</x:v>
      </x:c>
      <x:c r="I3" s="14" t="str">
        <x:v>Assess the workload against the AWS Well-Architected Operational Excellence pillar for ownership, responsibilities and operating model.</x:v>
      </x:c>
      <x:c r="J3" s="14" t="str">
        <x:v>Evidence demonstrates that ownership, responsibilities and operating model are intentionally designed, implemented, measured and reviewed; ownership is assigned; exceptions are documented; and gaps are remediated or risk-accepted.</x:v>
      </x:c>
      <x:c r="K3" s="14" t="str">
        <x:v>Architecture diagrams; IaC repositories; deployment records; CloudWatch dashboards/alarms; runbooks; incident/change records; post-incident reviews</x:v>
      </x:c>
      <x:c r="L3" s="14" t="str">
        <x:v>Not Assessed</x:v>
      </x:c>
      <x:c r="M3" s="14"/>
      <x:c r="N3" s="14"/>
      <x:c r="O3" s="14"/>
      <x:c r="P3" s="14"/>
    </x:row>
    <x:row r="4">
      <x:c r="A4" s="14" t="str">
        <x:v>PRISM</x:v>
      </x:c>
      <x:c r="B4" s="14" t="str">
        <x:v>Operational Excellence — Organization</x:v>
      </x:c>
      <x:c r="C4" s="14" t="str">
        <x:v>OPS 3</x:v>
      </x:c>
      <x:c r="D4" s="14" t="str">
        <x:v>How does your organizational culture support your business outcomes?</x:v>
      </x:c>
      <x:c r="E4" s="14" t="str">
        <x:v>Executive sponsorship, empowerment, communication, skills and resourcing</x:v>
      </x:c>
      <x:c r="F4" s="14" t="str">
        <x:v>OPS 3</x:v>
      </x:c>
      <x:c r="G4" s="14" t="str">
        <x:v>Cloud Operations / Platform Engineering</x:v>
      </x:c>
      <x:c r="H4" s="14" t="str">
        <x:v>Quarterly + material architecture change</x:v>
      </x:c>
      <x:c r="I4" s="14" t="str">
        <x:v>Assess the workload against the AWS Well-Architected Operational Excellence pillar for executive sponsorship, empowerment, communication, skills and resourcing.</x:v>
      </x:c>
      <x:c r="J4" s="14" t="str">
        <x:v>Evidence demonstrates that executive sponsorship, empowerment, communication, skills and resourcing are intentionally designed, implemented, measured and reviewed; ownership is assigned; exceptions are documented; and gaps are remediated or risk-accepted.</x:v>
      </x:c>
      <x:c r="K4" s="14" t="str">
        <x:v>Architecture diagrams; IaC repositories; deployment records; CloudWatch dashboards/alarms; runbooks; incident/change records; post-incident reviews</x:v>
      </x:c>
      <x:c r="L4" s="14" t="str">
        <x:v>Not Assessed</x:v>
      </x:c>
      <x:c r="M4" s="14"/>
      <x:c r="N4" s="14"/>
      <x:c r="O4" s="14"/>
      <x:c r="P4" s="14"/>
    </x:row>
    <x:row r="5">
      <x:c r="A5" s="14" t="str">
        <x:v>PRISM</x:v>
      </x:c>
      <x:c r="B5" s="14" t="str">
        <x:v>Operational Excellence — Prepare</x:v>
      </x:c>
      <x:c r="C5" s="14" t="str">
        <x:v>OPS 4</x:v>
      </x:c>
      <x:c r="D5" s="14" t="str">
        <x:v>How do you design your workload so that you can understand its state?</x:v>
      </x:c>
      <x:c r="E5" s="14" t="str">
        <x:v>Observability, telemetry and workload health</x:v>
      </x:c>
      <x:c r="F5" s="14" t="str">
        <x:v>OPS 4</x:v>
      </x:c>
      <x:c r="G5" s="14" t="str">
        <x:v>Cloud Operations / Platform Engineering</x:v>
      </x:c>
      <x:c r="H5" s="14" t="str">
        <x:v>Quarterly + material architecture change</x:v>
      </x:c>
      <x:c r="I5" s="14" t="str">
        <x:v>Assess the workload against the AWS Well-Architected Operational Excellence pillar for observability, telemetry and workload health.</x:v>
      </x:c>
      <x:c r="J5" s="14" t="str">
        <x:v>Evidence demonstrates that observability, telemetry and workload health are intentionally designed, implemented, measured and reviewed; ownership is assigned; exceptions are documented; and gaps are remediated or risk-accepted.</x:v>
      </x:c>
      <x:c r="K5" s="14" t="str">
        <x:v>Architecture diagrams; IaC repositories; deployment records; CloudWatch dashboards/alarms; runbooks; incident/change records; post-incident reviews</x:v>
      </x:c>
      <x:c r="L5" s="14" t="str">
        <x:v>Not Assessed</x:v>
      </x:c>
      <x:c r="M5" s="14"/>
      <x:c r="N5" s="14"/>
      <x:c r="O5" s="14"/>
      <x:c r="P5" s="14"/>
    </x:row>
    <x:row r="6">
      <x:c r="A6" s="14" t="str">
        <x:v>PRISM</x:v>
      </x:c>
      <x:c r="B6" s="14" t="str">
        <x:v>Operational Excellence — Prepare</x:v>
      </x:c>
      <x:c r="C6" s="14" t="str">
        <x:v>OPS 5</x:v>
      </x:c>
      <x:c r="D6" s="14" t="str">
        <x:v>How do you reduce defects, ease remediation, and improve flow into production?</x:v>
      </x:c>
      <x:c r="E6" s="14" t="str">
        <x:v>Version control, testing, automation, standards and deployment practices</x:v>
      </x:c>
      <x:c r="F6" s="14" t="str">
        <x:v>OPS 5</x:v>
      </x:c>
      <x:c r="G6" s="14" t="str">
        <x:v>Cloud Operations / Platform Engineering</x:v>
      </x:c>
      <x:c r="H6" s="14" t="str">
        <x:v>Quarterly + material architecture change</x:v>
      </x:c>
      <x:c r="I6" s="14" t="str">
        <x:v>Assess the workload against the AWS Well-Architected Operational Excellence pillar for version control, testing, automation, standards and deployment practices.</x:v>
      </x:c>
      <x:c r="J6" s="14" t="str">
        <x:v>Evidence demonstrates that version control, testing, automation, standards and deployment practices are intentionally designed, implemented, measured and reviewed; ownership is assigned; exceptions are documented; and gaps are remediated or risk-accepted.</x:v>
      </x:c>
      <x:c r="K6" s="14" t="str">
        <x:v>Architecture diagrams; IaC repositories; deployment records; CloudWatch dashboards/alarms; runbooks; incident/change records; post-incident reviews</x:v>
      </x:c>
      <x:c r="L6" s="14" t="str">
        <x:v>Not Assessed</x:v>
      </x:c>
      <x:c r="M6" s="14"/>
      <x:c r="N6" s="14"/>
      <x:c r="O6" s="14"/>
      <x:c r="P6" s="14"/>
    </x:row>
    <x:row r="7">
      <x:c r="A7" s="14" t="str">
        <x:v>PRISM</x:v>
      </x:c>
      <x:c r="B7" s="14" t="str">
        <x:v>Operational Excellence — Prepare</x:v>
      </x:c>
      <x:c r="C7" s="14" t="str">
        <x:v>OPS 6</x:v>
      </x:c>
      <x:c r="D7" s="14" t="str">
        <x:v>How do you mitigate deployment risks?</x:v>
      </x:c>
      <x:c r="E7" s="14" t="str">
        <x:v>Safe changes, testing, rollback and automated deployment</x:v>
      </x:c>
      <x:c r="F7" s="14" t="str">
        <x:v>OPS 6</x:v>
      </x:c>
      <x:c r="G7" s="14" t="str">
        <x:v>Cloud Operations / Platform Engineering</x:v>
      </x:c>
      <x:c r="H7" s="14" t="str">
        <x:v>Quarterly + material architecture change</x:v>
      </x:c>
      <x:c r="I7" s="14" t="str">
        <x:v>Assess the workload against the AWS Well-Architected Operational Excellence pillar for safe changes, testing, rollback and automated deployment.</x:v>
      </x:c>
      <x:c r="J7" s="14" t="str">
        <x:v>Evidence demonstrates that safe changes, testing, rollback and automated deployment are intentionally designed, implemented, measured and reviewed; ownership is assigned; exceptions are documented; and gaps are remediated or risk-accepted.</x:v>
      </x:c>
      <x:c r="K7" s="14" t="str">
        <x:v>Architecture diagrams; IaC repositories; deployment records; CloudWatch dashboards/alarms; runbooks; incident/change records; post-incident reviews</x:v>
      </x:c>
      <x:c r="L7" s="14" t="str">
        <x:v>Not Assessed</x:v>
      </x:c>
      <x:c r="M7" s="14"/>
      <x:c r="N7" s="14"/>
      <x:c r="O7" s="14"/>
      <x:c r="P7" s="14"/>
    </x:row>
    <x:row r="8">
      <x:c r="A8" s="14" t="str">
        <x:v>PRISM</x:v>
      </x:c>
      <x:c r="B8" s="14" t="str">
        <x:v>Operational Excellence — Prepare</x:v>
      </x:c>
      <x:c r="C8" s="14" t="str">
        <x:v>OPS 7</x:v>
      </x:c>
      <x:c r="D8" s="14" t="str">
        <x:v>How do you know that you are ready to support a workload?</x:v>
      </x:c>
      <x:c r="E8" s="14" t="str">
        <x:v>Operational readiness, runbooks, procedures and support capability</x:v>
      </x:c>
      <x:c r="F8" s="14" t="str">
        <x:v>OPS 7</x:v>
      </x:c>
      <x:c r="G8" s="14" t="str">
        <x:v>Cloud Operations / Platform Engineering</x:v>
      </x:c>
      <x:c r="H8" s="14" t="str">
        <x:v>Quarterly + material architecture change</x:v>
      </x:c>
      <x:c r="I8" s="14" t="str">
        <x:v>Assess the workload against the AWS Well-Architected Operational Excellence pillar for operational readiness, runbooks, procedures and support capability.</x:v>
      </x:c>
      <x:c r="J8" s="14" t="str">
        <x:v>Evidence demonstrates that operational readiness, runbooks, procedures and support capability are intentionally designed, implemented, measured and reviewed; ownership is assigned; exceptions are documented; and gaps are remediated or risk-accepted.</x:v>
      </x:c>
      <x:c r="K8" s="14" t="str">
        <x:v>Architecture diagrams; IaC repositories; deployment records; CloudWatch dashboards/alarms; runbooks; incident/change records; post-incident reviews</x:v>
      </x:c>
      <x:c r="L8" s="14" t="str">
        <x:v>Not Assessed</x:v>
      </x:c>
      <x:c r="M8" s="14"/>
      <x:c r="N8" s="14"/>
      <x:c r="O8" s="14"/>
      <x:c r="P8" s="14"/>
    </x:row>
    <x:row r="9">
      <x:c r="A9" s="14" t="str">
        <x:v>PRISM</x:v>
      </x:c>
      <x:c r="B9" s="14" t="str">
        <x:v>Operational Excellence — Operate</x:v>
      </x:c>
      <x:c r="C9" s="14" t="str">
        <x:v>OPS 8</x:v>
      </x:c>
      <x:c r="D9" s="14" t="str">
        <x:v>How do you understand the health of your workload?</x:v>
      </x:c>
      <x:c r="E9" s="14" t="str">
        <x:v>KPIs, monitoring, alerting and workload outcomes</x:v>
      </x:c>
      <x:c r="F9" s="14" t="str">
        <x:v>OPS 8</x:v>
      </x:c>
      <x:c r="G9" s="14" t="str">
        <x:v>Cloud Operations / Platform Engineering</x:v>
      </x:c>
      <x:c r="H9" s="14" t="str">
        <x:v>Quarterly + material architecture change</x:v>
      </x:c>
      <x:c r="I9" s="14" t="str">
        <x:v>Assess the workload against the AWS Well-Architected Operational Excellence pillar for kpis, monitoring, alerting and workload outcomes.</x:v>
      </x:c>
      <x:c r="J9" s="14" t="str">
        <x:v>Evidence demonstrates that kpis, monitoring, alerting and workload outcomes are intentionally designed, implemented, measured and reviewed; ownership is assigned; exceptions are documented; and gaps are remediated or risk-accepted.</x:v>
      </x:c>
      <x:c r="K9" s="14" t="str">
        <x:v>Architecture diagrams; IaC repositories; deployment records; CloudWatch dashboards/alarms; runbooks; incident/change records; post-incident reviews</x:v>
      </x:c>
      <x:c r="L9" s="14" t="str">
        <x:v>Not Assessed</x:v>
      </x:c>
      <x:c r="M9" s="14"/>
      <x:c r="N9" s="14"/>
      <x:c r="O9" s="14"/>
      <x:c r="P9" s="14"/>
    </x:row>
    <x:row r="10">
      <x:c r="A10" s="14" t="str">
        <x:v>PRISM</x:v>
      </x:c>
      <x:c r="B10" s="14" t="str">
        <x:v>Operational Excellence — Operate</x:v>
      </x:c>
      <x:c r="C10" s="14" t="str">
        <x:v>OPS 9</x:v>
      </x:c>
      <x:c r="D10" s="14" t="str">
        <x:v>How do you understand the health of your operations?</x:v>
      </x:c>
      <x:c r="E10" s="14" t="str">
        <x:v>Operational KPIs, metrics and trend analysis</x:v>
      </x:c>
      <x:c r="F10" s="14" t="str">
        <x:v>OPS 9</x:v>
      </x:c>
      <x:c r="G10" s="14" t="str">
        <x:v>Cloud Operations / Platform Engineering</x:v>
      </x:c>
      <x:c r="H10" s="14" t="str">
        <x:v>Quarterly + material architecture change</x:v>
      </x:c>
      <x:c r="I10" s="14" t="str">
        <x:v>Assess the workload against the AWS Well-Architected Operational Excellence pillar for operational kpis, metrics and trend analysis.</x:v>
      </x:c>
      <x:c r="J10" s="14" t="str">
        <x:v>Evidence demonstrates that operational kpis, metrics and trend analysis are intentionally designed, implemented, measured and reviewed; ownership is assigned; exceptions are documented; and gaps are remediated or risk-accepted.</x:v>
      </x:c>
      <x:c r="K10" s="14" t="str">
        <x:v>Architecture diagrams; IaC repositories; deployment records; CloudWatch dashboards/alarms; runbooks; incident/change records; post-incident reviews</x:v>
      </x:c>
      <x:c r="L10" s="14" t="str">
        <x:v>Not Assessed</x:v>
      </x:c>
      <x:c r="M10" s="14"/>
      <x:c r="N10" s="14"/>
      <x:c r="O10" s="14"/>
      <x:c r="P10" s="14"/>
    </x:row>
    <x:row r="11">
      <x:c r="A11" s="14" t="str">
        <x:v>PRISM</x:v>
      </x:c>
      <x:c r="B11" s="14" t="str">
        <x:v>Operational Excellence — Operate</x:v>
      </x:c>
      <x:c r="C11" s="14" t="str">
        <x:v>OPS 10</x:v>
      </x:c>
      <x:c r="D11" s="14" t="str">
        <x:v>How do you manage workload and operations events?</x:v>
      </x:c>
      <x:c r="E11" s="14" t="str">
        <x:v>Incident/event response, escalation and automation</x:v>
      </x:c>
      <x:c r="F11" s="14" t="str">
        <x:v>OPS 10</x:v>
      </x:c>
      <x:c r="G11" s="14" t="str">
        <x:v>Cloud Operations / Platform Engineering</x:v>
      </x:c>
      <x:c r="H11" s="14" t="str">
        <x:v>Quarterly + material architecture change</x:v>
      </x:c>
      <x:c r="I11" s="14" t="str">
        <x:v>Assess the workload against the AWS Well-Architected Operational Excellence pillar for incident/event response, escalation and automation.</x:v>
      </x:c>
      <x:c r="J11" s="14" t="str">
        <x:v>Evidence demonstrates that incident/event response, escalation and automation are intentionally designed, implemented, measured and reviewed; ownership is assigned; exceptions are documented; and gaps are remediated or risk-accepted.</x:v>
      </x:c>
      <x:c r="K11" s="14" t="str">
        <x:v>Architecture diagrams; IaC repositories; deployment records; CloudWatch dashboards/alarms; runbooks; incident/change records; post-incident reviews</x:v>
      </x:c>
      <x:c r="L11" s="14" t="str">
        <x:v>Not Assessed</x:v>
      </x:c>
      <x:c r="M11" s="14"/>
      <x:c r="N11" s="14"/>
      <x:c r="O11" s="14"/>
      <x:c r="P11" s="14"/>
    </x:row>
    <x:row r="12">
      <x:c r="A12" s="14" t="str">
        <x:v>PRISM</x:v>
      </x:c>
      <x:c r="B12" s="14" t="str">
        <x:v>Operational Excellence — Evolve</x:v>
      </x:c>
      <x:c r="C12" s="14" t="str">
        <x:v>OPS 11</x:v>
      </x:c>
      <x:c r="D12" s="14" t="str">
        <x:v>How do you evolve operations?</x:v>
      </x:c>
      <x:c r="E12" s="14" t="str">
        <x:v>Continuous improvement, lessons learned and feedback</x:v>
      </x:c>
      <x:c r="F12" s="14" t="str">
        <x:v>OPS 11</x:v>
      </x:c>
      <x:c r="G12" s="14" t="str">
        <x:v>Cloud Operations / Platform Engineering</x:v>
      </x:c>
      <x:c r="H12" s="14" t="str">
        <x:v>Quarterly + material architecture change</x:v>
      </x:c>
      <x:c r="I12" s="14" t="str">
        <x:v>Assess the workload against the AWS Well-Architected Operational Excellence pillar for continuous improvement, lessons learned and feedback.</x:v>
      </x:c>
      <x:c r="J12" s="14" t="str">
        <x:v>Evidence demonstrates that continuous improvement, lessons learned and feedback are intentionally designed, implemented, measured and reviewed; ownership is assigned; exceptions are documented; and gaps are remediated or risk-accepted.</x:v>
      </x:c>
      <x:c r="K12" s="14" t="str">
        <x:v>Architecture diagrams; IaC repositories; deployment records; CloudWatch dashboards/alarms; runbooks; incident/change records; post-incident reviews</x:v>
      </x:c>
      <x:c r="L12" s="14" t="str">
        <x:v>Not Assessed</x:v>
      </x:c>
      <x:c r="M12" s="14"/>
      <x:c r="N12" s="14"/>
      <x:c r="O12" s="14"/>
      <x:c r="P12" s="14"/>
    </x:row>
    <x:row r="13">
      <x:c r="A13" s="14" t="str">
        <x:v>PRISM</x:v>
      </x:c>
      <x:c r="B13" s="14" t="str">
        <x:v>Security — Security foundations</x:v>
      </x:c>
      <x:c r="C13" s="14" t="str">
        <x:v>SEC 1</x:v>
      </x:c>
      <x:c r="D13" s="14" t="str">
        <x:v>How do you securely operate your workload?</x:v>
      </x:c>
      <x:c r="E13" s="14" t="str">
        <x:v>Security governance, account separation, threat modeling and control automation</x:v>
      </x:c>
      <x:c r="F13" s="14" t="str">
        <x:v>SEC 1</x:v>
      </x:c>
      <x:c r="G13" s="14" t="str">
        <x:v>Cloud Security / CISO / Platform Engineering</x:v>
      </x:c>
      <x:c r="H13" s="14" t="str">
        <x:v>Quarterly + material architecture change</x:v>
      </x:c>
      <x:c r="I13" s="14" t="str">
        <x:v>Assess the workload against the AWS Well-Architected Security pillar for security governance, account separation, threat modeling and control automation.</x:v>
      </x:c>
      <x:c r="J13" s="14" t="str">
        <x:v>Evidence demonstrates that security governance, account separation, threat modeling and control automation are intentionally designed, implemented, measured and reviewed; ownership is assigned; exceptions are documented; and gaps are remediated or risk-accepted.</x:v>
      </x:c>
      <x:c r="K13" s="14" t="str">
        <x:v>AWS Organizations/account structure; IAM/Identity Center configuration; CloudTrail; Config; Security Hub; GuardDuty; KMS; network controls; vulnerability findings; incident playbooks</x:v>
      </x:c>
      <x:c r="L13" s="14" t="str">
        <x:v>Not Assessed</x:v>
      </x:c>
      <x:c r="M13" s="14"/>
      <x:c r="N13" s="14"/>
      <x:c r="O13" s="14"/>
      <x:c r="P13" s="14"/>
    </x:row>
    <x:row r="14">
      <x:c r="A14" s="14" t="str">
        <x:v>PRISM</x:v>
      </x:c>
      <x:c r="B14" s="14" t="str">
        <x:v>Security — Identity and access management</x:v>
      </x:c>
      <x:c r="C14" s="14" t="str">
        <x:v>SEC 2</x:v>
      </x:c>
      <x:c r="D14" s="14" t="str">
        <x:v>How do you manage identities for people and machines?</x:v>
      </x:c>
      <x:c r="E14" s="14" t="str">
        <x:v>Central identity, federation, MFA, credentials and machine identities</x:v>
      </x:c>
      <x:c r="F14" s="14" t="str">
        <x:v>SEC 2</x:v>
      </x:c>
      <x:c r="G14" s="14" t="str">
        <x:v>Cloud Security / CISO / Platform Engineering</x:v>
      </x:c>
      <x:c r="H14" s="14" t="str">
        <x:v>Quarterly + material architecture change</x:v>
      </x:c>
      <x:c r="I14" s="14" t="str">
        <x:v>Assess the workload against the AWS Well-Architected Security pillar for central identity, federation, mfa, credentials and machine identities.</x:v>
      </x:c>
      <x:c r="J14" s="14" t="str">
        <x:v>Evidence demonstrates that central identity, federation, mfa, credentials and machine identities are intentionally designed, implemented, measured and reviewed; ownership is assigned; exceptions are documented; and gaps are remediated or risk-accepted.</x:v>
      </x:c>
      <x:c r="K14" s="14" t="str">
        <x:v>AWS Organizations/account structure; IAM/Identity Center configuration; CloudTrail; Config; Security Hub; GuardDuty; KMS; network controls; vulnerability findings; incident playbooks</x:v>
      </x:c>
      <x:c r="L14" s="14" t="str">
        <x:v>Not Assessed</x:v>
      </x:c>
      <x:c r="M14" s="14"/>
      <x:c r="N14" s="14"/>
      <x:c r="O14" s="14"/>
      <x:c r="P14" s="14"/>
    </x:row>
    <x:row r="15">
      <x:c r="A15" s="14" t="str">
        <x:v>PRISM</x:v>
      </x:c>
      <x:c r="B15" s="14" t="str">
        <x:v>Security — Identity and access management</x:v>
      </x:c>
      <x:c r="C15" s="14" t="str">
        <x:v>SEC 3</x:v>
      </x:c>
      <x:c r="D15" s="14" t="str">
        <x:v>How do you manage permissions for people and machines?</x:v>
      </x:c>
      <x:c r="E15" s="14" t="str">
        <x:v>Least privilege, access boundaries and permissions lifecycle</x:v>
      </x:c>
      <x:c r="F15" s="14" t="str">
        <x:v>SEC 3</x:v>
      </x:c>
      <x:c r="G15" s="14" t="str">
        <x:v>Cloud Security / CISO / Platform Engineering</x:v>
      </x:c>
      <x:c r="H15" s="14" t="str">
        <x:v>Quarterly + material architecture change</x:v>
      </x:c>
      <x:c r="I15" s="14" t="str">
        <x:v>Assess the workload against the AWS Well-Architected Security pillar for least privilege, access boundaries and permissions lifecycle.</x:v>
      </x:c>
      <x:c r="J15" s="14" t="str">
        <x:v>Evidence demonstrates that least privilege, access boundaries and permissions lifecycle are intentionally designed, implemented, measured and reviewed; ownership is assigned; exceptions are documented; and gaps are remediated or risk-accepted.</x:v>
      </x:c>
      <x:c r="K15" s="14" t="str">
        <x:v>AWS Organizations/account structure; IAM/Identity Center configuration; CloudTrail; Config; Security Hub; GuardDuty; KMS; network controls; vulnerability findings; incident playbooks</x:v>
      </x:c>
      <x:c r="L15" s="14" t="str">
        <x:v>Not Assessed</x:v>
      </x:c>
      <x:c r="M15" s="14"/>
      <x:c r="N15" s="14"/>
      <x:c r="O15" s="14"/>
      <x:c r="P15" s="14"/>
    </x:row>
    <x:row r="16">
      <x:c r="A16" s="14" t="str">
        <x:v>PRISM</x:v>
      </x:c>
      <x:c r="B16" s="14" t="str">
        <x:v>Security — Detection</x:v>
      </x:c>
      <x:c r="C16" s="14" t="str">
        <x:v>SEC 4</x:v>
      </x:c>
      <x:c r="D16" s="14" t="str">
        <x:v>How do you detect and investigate security events?</x:v>
      </x:c>
      <x:c r="E16" s="14" t="str">
        <x:v>Logging, centralized findings, correlation and remediation</x:v>
      </x:c>
      <x:c r="F16" s="14" t="str">
        <x:v>SEC 4</x:v>
      </x:c>
      <x:c r="G16" s="14" t="str">
        <x:v>Cloud Security / CISO / Platform Engineering</x:v>
      </x:c>
      <x:c r="H16" s="14" t="str">
        <x:v>Quarterly + material architecture change</x:v>
      </x:c>
      <x:c r="I16" s="14" t="str">
        <x:v>Assess the workload against the AWS Well-Architected Security pillar for logging, centralized findings, correlation and remediation.</x:v>
      </x:c>
      <x:c r="J16" s="14" t="str">
        <x:v>Evidence demonstrates that logging, centralized findings, correlation and remediation are intentionally designed, implemented, measured and reviewed; ownership is assigned; exceptions are documented; and gaps are remediated or risk-accepted.</x:v>
      </x:c>
      <x:c r="K16" s="14" t="str">
        <x:v>AWS Organizations/account structure; IAM/Identity Center configuration; CloudTrail; Config; Security Hub; GuardDuty; KMS; network controls; vulnerability findings; incident playbooks</x:v>
      </x:c>
      <x:c r="L16" s="14" t="str">
        <x:v>Not Assessed</x:v>
      </x:c>
      <x:c r="M16" s="14"/>
      <x:c r="N16" s="14"/>
      <x:c r="O16" s="14"/>
      <x:c r="P16" s="14"/>
    </x:row>
    <x:row r="17">
      <x:c r="A17" s="14" t="str">
        <x:v>PRISM</x:v>
      </x:c>
      <x:c r="B17" s="14" t="str">
        <x:v>Security — Infrastructure protection</x:v>
      </x:c>
      <x:c r="C17" s="14" t="str">
        <x:v>SEC 5</x:v>
      </x:c>
      <x:c r="D17" s="14" t="str">
        <x:v>How do you protect your network resources?</x:v>
      </x:c>
      <x:c r="E17" s="14" t="str">
        <x:v>Segmentation, traffic controls, inspection and automation</x:v>
      </x:c>
      <x:c r="F17" s="14" t="str">
        <x:v>SEC 5</x:v>
      </x:c>
      <x:c r="G17" s="14" t="str">
        <x:v>Cloud Security / CISO / Platform Engineering</x:v>
      </x:c>
      <x:c r="H17" s="14" t="str">
        <x:v>Quarterly + material architecture change</x:v>
      </x:c>
      <x:c r="I17" s="14" t="str">
        <x:v>Assess the workload against the AWS Well-Architected Security pillar for segmentation, traffic controls, inspection and automation.</x:v>
      </x:c>
      <x:c r="J17" s="14" t="str">
        <x:v>Evidence demonstrates that segmentation, traffic controls, inspection and automation are intentionally designed, implemented, measured and reviewed; ownership is assigned; exceptions are documented; and gaps are remediated or risk-accepted.</x:v>
      </x:c>
      <x:c r="K17" s="14" t="str">
        <x:v>AWS Organizations/account structure; IAM/Identity Center configuration; CloudTrail; Config; Security Hub; GuardDuty; KMS; network controls; vulnerability findings; incident playbooks</x:v>
      </x:c>
      <x:c r="L17" s="14" t="str">
        <x:v>Not Assessed</x:v>
      </x:c>
      <x:c r="M17" s="14"/>
      <x:c r="N17" s="14"/>
      <x:c r="O17" s="14"/>
      <x:c r="P17" s="14"/>
    </x:row>
    <x:row r="18">
      <x:c r="A18" s="14" t="str">
        <x:v>PRISM</x:v>
      </x:c>
      <x:c r="B18" s="14" t="str">
        <x:v>Security — Infrastructure protection</x:v>
      </x:c>
      <x:c r="C18" s="14" t="str">
        <x:v>SEC 6</x:v>
      </x:c>
      <x:c r="D18" s="14" t="str">
        <x:v>How do you protect your compute resources?</x:v>
      </x:c>
      <x:c r="E18" s="14" t="str">
        <x:v>Vulnerability management, hardened images and reduced interactive access</x:v>
      </x:c>
      <x:c r="F18" s="14" t="str">
        <x:v>SEC 6</x:v>
      </x:c>
      <x:c r="G18" s="14" t="str">
        <x:v>Cloud Security / CISO / Platform Engineering</x:v>
      </x:c>
      <x:c r="H18" s="14" t="str">
        <x:v>Quarterly + material architecture change</x:v>
      </x:c>
      <x:c r="I18" s="14" t="str">
        <x:v>Assess the workload against the AWS Well-Architected Security pillar for vulnerability management, hardened images and reduced interactive access.</x:v>
      </x:c>
      <x:c r="J18" s="14" t="str">
        <x:v>Evidence demonstrates that vulnerability management, hardened images and reduced interactive access are intentionally designed, implemented, measured and reviewed; ownership is assigned; exceptions are documented; and gaps are remediated or risk-accepted.</x:v>
      </x:c>
      <x:c r="K18" s="14" t="str">
        <x:v>AWS Organizations/account structure; IAM/Identity Center configuration; CloudTrail; Config; Security Hub; GuardDuty; KMS; network controls; vulnerability findings; incident playbooks</x:v>
      </x:c>
      <x:c r="L18" s="14" t="str">
        <x:v>Not Assessed</x:v>
      </x:c>
      <x:c r="M18" s="14"/>
      <x:c r="N18" s="14"/>
      <x:c r="O18" s="14"/>
      <x:c r="P18" s="14"/>
    </x:row>
    <x:row r="19">
      <x:c r="A19" s="14" t="str">
        <x:v>PRISM</x:v>
      </x:c>
      <x:c r="B19" s="14" t="str">
        <x:v>Security — Data protection</x:v>
      </x:c>
      <x:c r="C19" s="14" t="str">
        <x:v>SEC 7</x:v>
      </x:c>
      <x:c r="D19" s="14" t="str">
        <x:v>How do you classify your data?</x:v>
      </x:c>
      <x:c r="E19" s="14" t="str">
        <x:v>Classification, sensitivity controls and lifecycle management</x:v>
      </x:c>
      <x:c r="F19" s="14" t="str">
        <x:v>SEC 7</x:v>
      </x:c>
      <x:c r="G19" s="14" t="str">
        <x:v>Cloud Security / CISO / Platform Engineering</x:v>
      </x:c>
      <x:c r="H19" s="14" t="str">
        <x:v>Quarterly + material architecture change</x:v>
      </x:c>
      <x:c r="I19" s="14" t="str">
        <x:v>Assess the workload against the AWS Well-Architected Security pillar for classification, sensitivity controls and lifecycle management.</x:v>
      </x:c>
      <x:c r="J19" s="14" t="str">
        <x:v>Evidence demonstrates that classification, sensitivity controls and lifecycle management are intentionally designed, implemented, measured and reviewed; ownership is assigned; exceptions are documented; and gaps are remediated or risk-accepted.</x:v>
      </x:c>
      <x:c r="K19" s="14" t="str">
        <x:v>AWS Organizations/account structure; IAM/Identity Center configuration; CloudTrail; Config; Security Hub; GuardDuty; KMS; network controls; vulnerability findings; incident playbooks</x:v>
      </x:c>
      <x:c r="L19" s="14" t="str">
        <x:v>Not Assessed</x:v>
      </x:c>
      <x:c r="M19" s="14"/>
      <x:c r="N19" s="14"/>
      <x:c r="O19" s="14"/>
      <x:c r="P19" s="14"/>
    </x:row>
    <x:row r="20">
      <x:c r="A20" s="14" t="str">
        <x:v>PRISM</x:v>
      </x:c>
      <x:c r="B20" s="14" t="str">
        <x:v>Security — Data protection</x:v>
      </x:c>
      <x:c r="C20" s="14" t="str">
        <x:v>SEC 8</x:v>
      </x:c>
      <x:c r="D20" s="14" t="str">
        <x:v>How do you protect your data at rest?</x:v>
      </x:c>
      <x:c r="E20" s="14" t="str">
        <x:v>Encryption, KMS and access controls</x:v>
      </x:c>
      <x:c r="F20" s="14" t="str">
        <x:v>SEC 8</x:v>
      </x:c>
      <x:c r="G20" s="14" t="str">
        <x:v>Cloud Security / CISO / Platform Engineering</x:v>
      </x:c>
      <x:c r="H20" s="14" t="str">
        <x:v>Quarterly + material architecture change</x:v>
      </x:c>
      <x:c r="I20" s="14" t="str">
        <x:v>Assess the workload against the AWS Well-Architected Security pillar for encryption, kms and access controls.</x:v>
      </x:c>
      <x:c r="J20" s="14" t="str">
        <x:v>Evidence demonstrates that encryption, kms and access controls are intentionally designed, implemented, measured and reviewed; ownership is assigned; exceptions are documented; and gaps are remediated or risk-accepted.</x:v>
      </x:c>
      <x:c r="K20" s="14" t="str">
        <x:v>AWS Organizations/account structure; IAM/Identity Center configuration; CloudTrail; Config; Security Hub; GuardDuty; KMS; network controls; vulnerability findings; incident playbooks</x:v>
      </x:c>
      <x:c r="L20" s="14" t="str">
        <x:v>Not Assessed</x:v>
      </x:c>
      <x:c r="M20" s="14"/>
      <x:c r="N20" s="14"/>
      <x:c r="O20" s="14"/>
      <x:c r="P20" s="14"/>
    </x:row>
    <x:row r="21">
      <x:c r="A21" s="14" t="str">
        <x:v>PRISM</x:v>
      </x:c>
      <x:c r="B21" s="14" t="str">
        <x:v>Security — Data protection</x:v>
      </x:c>
      <x:c r="C21" s="14" t="str">
        <x:v>SEC 9</x:v>
      </x:c>
      <x:c r="D21" s="14" t="str">
        <x:v>How do you protect your data in transit?</x:v>
      </x:c>
      <x:c r="E21" s="14" t="str">
        <x:v>TLS, certificate/key management and authenticated communications</x:v>
      </x:c>
      <x:c r="F21" s="14" t="str">
        <x:v>SEC 9</x:v>
      </x:c>
      <x:c r="G21" s="14" t="str">
        <x:v>Cloud Security / CISO / Platform Engineering</x:v>
      </x:c>
      <x:c r="H21" s="14" t="str">
        <x:v>Quarterly + material architecture change</x:v>
      </x:c>
      <x:c r="I21" s="14" t="str">
        <x:v>Assess the workload against the AWS Well-Architected Security pillar for tls, certificate/key management and authenticated communications.</x:v>
      </x:c>
      <x:c r="J21" s="14" t="str">
        <x:v>Evidence demonstrates that tls, certificate/key management and authenticated communications are intentionally designed, implemented, measured and reviewed; ownership is assigned; exceptions are documented; and gaps are remediated or risk-accepted.</x:v>
      </x:c>
      <x:c r="K21" s="14" t="str">
        <x:v>AWS Organizations/account structure; IAM/Identity Center configuration; CloudTrail; Config; Security Hub; GuardDuty; KMS; network controls; vulnerability findings; incident playbooks</x:v>
      </x:c>
      <x:c r="L21" s="14" t="str">
        <x:v>Not Assessed</x:v>
      </x:c>
      <x:c r="M21" s="14"/>
      <x:c r="N21" s="14"/>
      <x:c r="O21" s="14"/>
      <x:c r="P21" s="14"/>
    </x:row>
    <x:row r="22">
      <x:c r="A22" s="14" t="str">
        <x:v>PRISM</x:v>
      </x:c>
      <x:c r="B22" s="14" t="str">
        <x:v>Security — Incident response</x:v>
      </x:c>
      <x:c r="C22" s="14" t="str">
        <x:v>SEC 10</x:v>
      </x:c>
      <x:c r="D22" s="14" t="str">
        <x:v>How do you anticipate, respond to, and recover from incidents?</x:v>
      </x:c>
      <x:c r="E22" s="14" t="str">
        <x:v>Incident plans, tooling, forensics, containment, recovery and exercises</x:v>
      </x:c>
      <x:c r="F22" s="14" t="str">
        <x:v>SEC 10</x:v>
      </x:c>
      <x:c r="G22" s="14" t="str">
        <x:v>Cloud Security / CISO / Platform Engineering</x:v>
      </x:c>
      <x:c r="H22" s="14" t="str">
        <x:v>Quarterly + material architecture change</x:v>
      </x:c>
      <x:c r="I22" s="14" t="str">
        <x:v>Assess the workload against the AWS Well-Architected Security pillar for incident plans, tooling, forensics, containment, recovery and exercises.</x:v>
      </x:c>
      <x:c r="J22" s="14" t="str">
        <x:v>Evidence demonstrates that incident plans, tooling, forensics, containment, recovery and exercises are intentionally designed, implemented, measured and reviewed; ownership is assigned; exceptions are documented; and gaps are remediated or risk-accepted.</x:v>
      </x:c>
      <x:c r="K22" s="14" t="str">
        <x:v>AWS Organizations/account structure; IAM/Identity Center configuration; CloudTrail; Config; Security Hub; GuardDuty; KMS; network controls; vulnerability findings; incident playbooks</x:v>
      </x:c>
      <x:c r="L22" s="14" t="str">
        <x:v>Not Assessed</x:v>
      </x:c>
      <x:c r="M22" s="14"/>
      <x:c r="N22" s="14"/>
      <x:c r="O22" s="14"/>
      <x:c r="P22" s="14"/>
    </x:row>
    <x:row r="23">
      <x:c r="A23" s="14" t="str">
        <x:v>PRISM</x:v>
      </x:c>
      <x:c r="B23" s="14" t="str">
        <x:v>Reliability — Foundations</x:v>
      </x:c>
      <x:c r="C23" s="14" t="str">
        <x:v>REL 1</x:v>
      </x:c>
      <x:c r="D23" s="14" t="str">
        <x:v>How do you manage Service Quotas and constraints?</x:v>
      </x:c>
      <x:c r="E23" s="14" t="str">
        <x:v>Quota awareness, monitoring, headroom and quota management</x:v>
      </x:c>
      <x:c r="F23" s="14" t="str">
        <x:v>REL 1</x:v>
      </x:c>
      <x:c r="G23" s="14" t="str">
        <x:v>Cloud Architecture / SRE / Operations</x:v>
      </x:c>
      <x:c r="H23" s="14" t="str">
        <x:v>Quarterly + material architecture change</x:v>
      </x:c>
      <x:c r="I23" s="14" t="str">
        <x:v>Assess the workload against the AWS Well-Architected Reliability pillar for quota awareness, monitoring, headroom and quota management.</x:v>
      </x:c>
      <x:c r="J23" s="14" t="str">
        <x:v>Evidence demonstrates that quota awareness, monitoring, headroom and quota management are intentionally designed, implemented, measured and reviewed; ownership is assigned; exceptions are documented; and gaps are remediated or risk-accepted.</x:v>
      </x:c>
      <x:c r="K23" s="14" t="str">
        <x:v>Architecture diagrams; Service Quotas; network configuration; Auto Scaling; backup policies; restore tests; Route 53/ELB evidence; DR plans and test results</x:v>
      </x:c>
      <x:c r="L23" s="14" t="str">
        <x:v>Not Assessed</x:v>
      </x:c>
      <x:c r="M23" s="14"/>
      <x:c r="N23" s="14"/>
      <x:c r="O23" s="14"/>
      <x:c r="P23" s="14"/>
    </x:row>
    <x:row r="24">
      <x:c r="A24" s="14" t="str">
        <x:v>PRISM</x:v>
      </x:c>
      <x:c r="B24" s="14" t="str">
        <x:v>Reliability — Foundations</x:v>
      </x:c>
      <x:c r="C24" s="14" t="str">
        <x:v>REL 2</x:v>
      </x:c>
      <x:c r="D24" s="14" t="str">
        <x:v>How do you plan your network topology?</x:v>
      </x:c>
      <x:c r="E24" s="14" t="str">
        <x:v>Highly available connectivity, redundancy, IP planning and topology</x:v>
      </x:c>
      <x:c r="F24" s="14" t="str">
        <x:v>REL 2</x:v>
      </x:c>
      <x:c r="G24" s="14" t="str">
        <x:v>Cloud Architecture / SRE / Operations</x:v>
      </x:c>
      <x:c r="H24" s="14" t="str">
        <x:v>Quarterly + material architecture change</x:v>
      </x:c>
      <x:c r="I24" s="14" t="str">
        <x:v>Assess the workload against the AWS Well-Architected Reliability pillar for highly available connectivity, redundancy, ip planning and topology.</x:v>
      </x:c>
      <x:c r="J24" s="14" t="str">
        <x:v>Evidence demonstrates that highly available connectivity, redundancy, ip planning and topology are intentionally designed, implemented, measured and reviewed; ownership is assigned; exceptions are documented; and gaps are remediated or risk-accepted.</x:v>
      </x:c>
      <x:c r="K24" s="14" t="str">
        <x:v>Architecture diagrams; Service Quotas; network configuration; Auto Scaling; backup policies; restore tests; Route 53/ELB evidence; DR plans and test results</x:v>
      </x:c>
      <x:c r="L24" s="14" t="str">
        <x:v>Not Assessed</x:v>
      </x:c>
      <x:c r="M24" s="14"/>
      <x:c r="N24" s="14"/>
      <x:c r="O24" s="14"/>
      <x:c r="P24" s="14"/>
    </x:row>
    <x:row r="25">
      <x:c r="A25" s="14" t="str">
        <x:v>PRISM</x:v>
      </x:c>
      <x:c r="B25" s="14" t="str">
        <x:v>Reliability — Workload architecture</x:v>
      </x:c>
      <x:c r="C25" s="14" t="str">
        <x:v>REL 3</x:v>
      </x:c>
      <x:c r="D25" s="14" t="str">
        <x:v>How do you design your workload service architecture?</x:v>
      </x:c>
      <x:c r="E25" s="14" t="str">
        <x:v>Service boundaries, business-domain focus and API contracts</x:v>
      </x:c>
      <x:c r="F25" s="14" t="str">
        <x:v>REL 3</x:v>
      </x:c>
      <x:c r="G25" s="14" t="str">
        <x:v>Cloud Architecture / SRE / Operations</x:v>
      </x:c>
      <x:c r="H25" s="14" t="str">
        <x:v>Quarterly + material architecture change</x:v>
      </x:c>
      <x:c r="I25" s="14" t="str">
        <x:v>Assess the workload against the AWS Well-Architected Reliability pillar for service boundaries, business-domain focus and api contracts.</x:v>
      </x:c>
      <x:c r="J25" s="14" t="str">
        <x:v>Evidence demonstrates that service boundaries, business-domain focus and api contracts are intentionally designed, implemented, measured and reviewed; ownership is assigned; exceptions are documented; and gaps are remediated or risk-accepted.</x:v>
      </x:c>
      <x:c r="K25" s="14" t="str">
        <x:v>Architecture diagrams; Service Quotas; network configuration; Auto Scaling; backup policies; restore tests; Route 53/ELB evidence; DR plans and test results</x:v>
      </x:c>
      <x:c r="L25" s="14" t="str">
        <x:v>Not Assessed</x:v>
      </x:c>
      <x:c r="M25" s="14"/>
      <x:c r="N25" s="14"/>
      <x:c r="O25" s="14"/>
      <x:c r="P25" s="14"/>
    </x:row>
    <x:row r="26">
      <x:c r="A26" s="14" t="str">
        <x:v>PRISM</x:v>
      </x:c>
      <x:c r="B26" s="14" t="str">
        <x:v>Reliability — Workload architecture</x:v>
      </x:c>
      <x:c r="C26" s="14" t="str">
        <x:v>REL 4</x:v>
      </x:c>
      <x:c r="D26" s="14" t="str">
        <x:v>How do you design interactions in a distributed system to prevent failures?</x:v>
      </x:c>
      <x:c r="E26" s="14" t="str">
        <x:v>Loose coupling, idempotency and failure prevention</x:v>
      </x:c>
      <x:c r="F26" s="14" t="str">
        <x:v>REL 4</x:v>
      </x:c>
      <x:c r="G26" s="14" t="str">
        <x:v>Cloud Architecture / SRE / Operations</x:v>
      </x:c>
      <x:c r="H26" s="14" t="str">
        <x:v>Quarterly + material architecture change</x:v>
      </x:c>
      <x:c r="I26" s="14" t="str">
        <x:v>Assess the workload against the AWS Well-Architected Reliability pillar for loose coupling, idempotency and failure prevention.</x:v>
      </x:c>
      <x:c r="J26" s="14" t="str">
        <x:v>Evidence demonstrates that loose coupling, idempotency and failure prevention are intentionally designed, implemented, measured and reviewed; ownership is assigned; exceptions are documented; and gaps are remediated or risk-accepted.</x:v>
      </x:c>
      <x:c r="K26" s="14" t="str">
        <x:v>Architecture diagrams; Service Quotas; network configuration; Auto Scaling; backup policies; restore tests; Route 53/ELB evidence; DR plans and test results</x:v>
      </x:c>
      <x:c r="L26" s="14" t="str">
        <x:v>Not Assessed</x:v>
      </x:c>
      <x:c r="M26" s="14"/>
      <x:c r="N26" s="14"/>
      <x:c r="O26" s="14"/>
      <x:c r="P26" s="14"/>
    </x:row>
    <x:row r="27">
      <x:c r="A27" s="14" t="str">
        <x:v>PRISM</x:v>
      </x:c>
      <x:c r="B27" s="14" t="str">
        <x:v>Reliability — Workload architecture</x:v>
      </x:c>
      <x:c r="C27" s="14" t="str">
        <x:v>REL 5</x:v>
      </x:c>
      <x:c r="D27" s="14" t="str">
        <x:v>How do you design interactions in a distributed system to mitigate or withstand failures?</x:v>
      </x:c>
      <x:c r="E27" s="14" t="str">
        <x:v>Timeouts, retries, backoff, queues and graceful degradation</x:v>
      </x:c>
      <x:c r="F27" s="14" t="str">
        <x:v>REL 5</x:v>
      </x:c>
      <x:c r="G27" s="14" t="str">
        <x:v>Cloud Architecture / SRE / Operations</x:v>
      </x:c>
      <x:c r="H27" s="14" t="str">
        <x:v>Quarterly + material architecture change</x:v>
      </x:c>
      <x:c r="I27" s="14" t="str">
        <x:v>Assess the workload against the AWS Well-Architected Reliability pillar for timeouts, retries, backoff, queues and graceful degradation.</x:v>
      </x:c>
      <x:c r="J27" s="14" t="str">
        <x:v>Evidence demonstrates that timeouts, retries, backoff, queues and graceful degradation are intentionally designed, implemented, measured and reviewed; ownership is assigned; exceptions are documented; and gaps are remediated or risk-accepted.</x:v>
      </x:c>
      <x:c r="K27" s="14" t="str">
        <x:v>Architecture diagrams; Service Quotas; network configuration; Auto Scaling; backup policies; restore tests; Route 53/ELB evidence; DR plans and test results</x:v>
      </x:c>
      <x:c r="L27" s="14" t="str">
        <x:v>Not Assessed</x:v>
      </x:c>
      <x:c r="M27" s="14"/>
      <x:c r="N27" s="14"/>
      <x:c r="O27" s="14"/>
      <x:c r="P27" s="14"/>
    </x:row>
    <x:row r="28">
      <x:c r="A28" s="14" t="str">
        <x:v>PRISM</x:v>
      </x:c>
      <x:c r="B28" s="14" t="str">
        <x:v>Reliability — Change management</x:v>
      </x:c>
      <x:c r="C28" s="14" t="str">
        <x:v>REL 6</x:v>
      </x:c>
      <x:c r="D28" s="14" t="str">
        <x:v>How do you monitor workload resources?</x:v>
      </x:c>
      <x:c r="E28" s="14" t="str">
        <x:v>Resource monitoring, health metrics and alerting</x:v>
      </x:c>
      <x:c r="F28" s="14" t="str">
        <x:v>REL 6</x:v>
      </x:c>
      <x:c r="G28" s="14" t="str">
        <x:v>Cloud Architecture / SRE / Operations</x:v>
      </x:c>
      <x:c r="H28" s="14" t="str">
        <x:v>Quarterly + material architecture change</x:v>
      </x:c>
      <x:c r="I28" s="14" t="str">
        <x:v>Assess the workload against the AWS Well-Architected Reliability pillar for resource monitoring, health metrics and alerting.</x:v>
      </x:c>
      <x:c r="J28" s="14" t="str">
        <x:v>Evidence demonstrates that resource monitoring, health metrics and alerting are intentionally designed, implemented, measured and reviewed; ownership is assigned; exceptions are documented; and gaps are remediated or risk-accepted.</x:v>
      </x:c>
      <x:c r="K28" s="14" t="str">
        <x:v>Architecture diagrams; Service Quotas; network configuration; Auto Scaling; backup policies; restore tests; Route 53/ELB evidence; DR plans and test results</x:v>
      </x:c>
      <x:c r="L28" s="14" t="str">
        <x:v>Not Assessed</x:v>
      </x:c>
      <x:c r="M28" s="14"/>
      <x:c r="N28" s="14"/>
      <x:c r="O28" s="14"/>
      <x:c r="P28" s="14"/>
    </x:row>
    <x:row r="29">
      <x:c r="A29" s="14" t="str">
        <x:v>PRISM</x:v>
      </x:c>
      <x:c r="B29" s="14" t="str">
        <x:v>Reliability — Change management</x:v>
      </x:c>
      <x:c r="C29" s="14" t="str">
        <x:v>REL 7</x:v>
      </x:c>
      <x:c r="D29" s="14" t="str">
        <x:v>How do you design your workload to adapt to changes in demand?</x:v>
      </x:c>
      <x:c r="E29" s="14" t="str">
        <x:v>Auto scaling, demand management and elasticity</x:v>
      </x:c>
      <x:c r="F29" s="14" t="str">
        <x:v>REL 7</x:v>
      </x:c>
      <x:c r="G29" s="14" t="str">
        <x:v>Cloud Architecture / SRE / Operations</x:v>
      </x:c>
      <x:c r="H29" s="14" t="str">
        <x:v>Quarterly + material architecture change</x:v>
      </x:c>
      <x:c r="I29" s="14" t="str">
        <x:v>Assess the workload against the AWS Well-Architected Reliability pillar for auto scaling, demand management and elasticity.</x:v>
      </x:c>
      <x:c r="J29" s="14" t="str">
        <x:v>Evidence demonstrates that auto scaling, demand management and elasticity are intentionally designed, implemented, measured and reviewed; ownership is assigned; exceptions are documented; and gaps are remediated or risk-accepted.</x:v>
      </x:c>
      <x:c r="K29" s="14" t="str">
        <x:v>Architecture diagrams; Service Quotas; network configuration; Auto Scaling; backup policies; restore tests; Route 53/ELB evidence; DR plans and test results</x:v>
      </x:c>
      <x:c r="L29" s="14" t="str">
        <x:v>Not Assessed</x:v>
      </x:c>
      <x:c r="M29" s="14"/>
      <x:c r="N29" s="14"/>
      <x:c r="O29" s="14"/>
      <x:c r="P29" s="14"/>
    </x:row>
    <x:row r="30">
      <x:c r="A30" s="14" t="str">
        <x:v>PRISM</x:v>
      </x:c>
      <x:c r="B30" s="14" t="str">
        <x:v>Reliability — Change management</x:v>
      </x:c>
      <x:c r="C30" s="14" t="str">
        <x:v>REL 8</x:v>
      </x:c>
      <x:c r="D30" s="14" t="str">
        <x:v>How do you implement change?</x:v>
      </x:c>
      <x:c r="E30" s="14" t="str">
        <x:v>Controlled, automated, reversible and tested changes</x:v>
      </x:c>
      <x:c r="F30" s="14" t="str">
        <x:v>REL 8</x:v>
      </x:c>
      <x:c r="G30" s="14" t="str">
        <x:v>Cloud Architecture / SRE / Operations</x:v>
      </x:c>
      <x:c r="H30" s="14" t="str">
        <x:v>Quarterly + material architecture change</x:v>
      </x:c>
      <x:c r="I30" s="14" t="str">
        <x:v>Assess the workload against the AWS Well-Architected Reliability pillar for controlled, automated, reversible and tested changes.</x:v>
      </x:c>
      <x:c r="J30" s="14" t="str">
        <x:v>Evidence demonstrates that controlled, automated, reversible and tested changes are intentionally designed, implemented, measured and reviewed; ownership is assigned; exceptions are documented; and gaps are remediated or risk-accepted.</x:v>
      </x:c>
      <x:c r="K30" s="14" t="str">
        <x:v>Architecture diagrams; Service Quotas; network configuration; Auto Scaling; backup policies; restore tests; Route 53/ELB evidence; DR plans and test results</x:v>
      </x:c>
      <x:c r="L30" s="14" t="str">
        <x:v>Not Assessed</x:v>
      </x:c>
      <x:c r="M30" s="14"/>
      <x:c r="N30" s="14"/>
      <x:c r="O30" s="14"/>
      <x:c r="P30" s="14"/>
    </x:row>
    <x:row r="31">
      <x:c r="A31" s="14" t="str">
        <x:v>PRISM</x:v>
      </x:c>
      <x:c r="B31" s="14" t="str">
        <x:v>Reliability — Failure management</x:v>
      </x:c>
      <x:c r="C31" s="14" t="str">
        <x:v>REL 9</x:v>
      </x:c>
      <x:c r="D31" s="14" t="str">
        <x:v>How do you back up data?</x:v>
      </x:c>
      <x:c r="E31" s="14" t="str">
        <x:v>Backup scope, frequency, encryption, retention and restoration testing</x:v>
      </x:c>
      <x:c r="F31" s="14" t="str">
        <x:v>REL 9</x:v>
      </x:c>
      <x:c r="G31" s="14" t="str">
        <x:v>Cloud Architecture / SRE / Operations</x:v>
      </x:c>
      <x:c r="H31" s="14" t="str">
        <x:v>Quarterly + material architecture change</x:v>
      </x:c>
      <x:c r="I31" s="14" t="str">
        <x:v>Assess the workload against the AWS Well-Architected Reliability pillar for backup scope, frequency, encryption, retention and restoration testing.</x:v>
      </x:c>
      <x:c r="J31" s="14" t="str">
        <x:v>Evidence demonstrates that backup scope, frequency, encryption, retention and restoration testing are intentionally designed, implemented, measured and reviewed; ownership is assigned; exceptions are documented; and gaps are remediated or risk-accepted.</x:v>
      </x:c>
      <x:c r="K31" s="14" t="str">
        <x:v>Architecture diagrams; Service Quotas; network configuration; Auto Scaling; backup policies; restore tests; Route 53/ELB evidence; DR plans and test results</x:v>
      </x:c>
      <x:c r="L31" s="14" t="str">
        <x:v>Not Assessed</x:v>
      </x:c>
      <x:c r="M31" s="14"/>
      <x:c r="N31" s="14"/>
      <x:c r="O31" s="14"/>
      <x:c r="P31" s="14"/>
    </x:row>
    <x:row r="32">
      <x:c r="A32" s="14" t="str">
        <x:v>PRISM</x:v>
      </x:c>
      <x:c r="B32" s="14" t="str">
        <x:v>Reliability — Failure management</x:v>
      </x:c>
      <x:c r="C32" s="14" t="str">
        <x:v>REL 10</x:v>
      </x:c>
      <x:c r="D32" s="14" t="str">
        <x:v>How do you use fault isolation to protect your workload?</x:v>
      </x:c>
      <x:c r="E32" s="14" t="str">
        <x:v>Availability Zones, fault boundaries and blast-radius reduction</x:v>
      </x:c>
      <x:c r="F32" s="14" t="str">
        <x:v>REL 10</x:v>
      </x:c>
      <x:c r="G32" s="14" t="str">
        <x:v>Cloud Architecture / SRE / Operations</x:v>
      </x:c>
      <x:c r="H32" s="14" t="str">
        <x:v>Quarterly + material architecture change</x:v>
      </x:c>
      <x:c r="I32" s="14" t="str">
        <x:v>Assess the workload against the AWS Well-Architected Reliability pillar for availability zones, fault boundaries and blast-radius reduction.</x:v>
      </x:c>
      <x:c r="J32" s="14" t="str">
        <x:v>Evidence demonstrates that availability zones, fault boundaries and blast-radius reduction are intentionally designed, implemented, measured and reviewed; ownership is assigned; exceptions are documented; and gaps are remediated or risk-accepted.</x:v>
      </x:c>
      <x:c r="K32" s="14" t="str">
        <x:v>Architecture diagrams; Service Quotas; network configuration; Auto Scaling; backup policies; restore tests; Route 53/ELB evidence; DR plans and test results</x:v>
      </x:c>
      <x:c r="L32" s="14" t="str">
        <x:v>Not Assessed</x:v>
      </x:c>
      <x:c r="M32" s="14"/>
      <x:c r="N32" s="14"/>
      <x:c r="O32" s="14"/>
      <x:c r="P32" s="14"/>
    </x:row>
    <x:row r="33">
      <x:c r="A33" s="14" t="str">
        <x:v>PRISM</x:v>
      </x:c>
      <x:c r="B33" s="14" t="str">
        <x:v>Reliability — Failure management</x:v>
      </x:c>
      <x:c r="C33" s="14" t="str">
        <x:v>REL 11</x:v>
      </x:c>
      <x:c r="D33" s="14" t="str">
        <x:v>How do you design your workload to withstand component failures?</x:v>
      </x:c>
      <x:c r="E33" s="14" t="str">
        <x:v>Automated recovery, redundancy and resilient dependencies</x:v>
      </x:c>
      <x:c r="F33" s="14" t="str">
        <x:v>REL 11</x:v>
      </x:c>
      <x:c r="G33" s="14" t="str">
        <x:v>Cloud Architecture / SRE / Operations</x:v>
      </x:c>
      <x:c r="H33" s="14" t="str">
        <x:v>Quarterly + material architecture change</x:v>
      </x:c>
      <x:c r="I33" s="14" t="str">
        <x:v>Assess the workload against the AWS Well-Architected Reliability pillar for automated recovery, redundancy and resilient dependencies.</x:v>
      </x:c>
      <x:c r="J33" s="14" t="str">
        <x:v>Evidence demonstrates that automated recovery, redundancy and resilient dependencies are intentionally designed, implemented, measured and reviewed; ownership is assigned; exceptions are documented; and gaps are remediated or risk-accepted.</x:v>
      </x:c>
      <x:c r="K33" s="14" t="str">
        <x:v>Architecture diagrams; Service Quotas; network configuration; Auto Scaling; backup policies; restore tests; Route 53/ELB evidence; DR plans and test results</x:v>
      </x:c>
      <x:c r="L33" s="14" t="str">
        <x:v>Not Assessed</x:v>
      </x:c>
      <x:c r="M33" s="14"/>
      <x:c r="N33" s="14"/>
      <x:c r="O33" s="14"/>
      <x:c r="P33" s="14"/>
    </x:row>
    <x:row r="34">
      <x:c r="A34" s="14" t="str">
        <x:v>PRISM</x:v>
      </x:c>
      <x:c r="B34" s="14" t="str">
        <x:v>Reliability — Failure management</x:v>
      </x:c>
      <x:c r="C34" s="14" t="str">
        <x:v>REL 12</x:v>
      </x:c>
      <x:c r="D34" s="14" t="str">
        <x:v>How do you test reliability?</x:v>
      </x:c>
      <x:c r="E34" s="14" t="str">
        <x:v>Failure testing, game days and resilience validation</x:v>
      </x:c>
      <x:c r="F34" s="14" t="str">
        <x:v>REL 12</x:v>
      </x:c>
      <x:c r="G34" s="14" t="str">
        <x:v>Cloud Architecture / SRE / Operations</x:v>
      </x:c>
      <x:c r="H34" s="14" t="str">
        <x:v>Quarterly + material architecture change</x:v>
      </x:c>
      <x:c r="I34" s="14" t="str">
        <x:v>Assess the workload against the AWS Well-Architected Reliability pillar for failure testing, game days and resilience validation.</x:v>
      </x:c>
      <x:c r="J34" s="14" t="str">
        <x:v>Evidence demonstrates that failure testing, game days and resilience validation are intentionally designed, implemented, measured and reviewed; ownership is assigned; exceptions are documented; and gaps are remediated or risk-accepted.</x:v>
      </x:c>
      <x:c r="K34" s="14" t="str">
        <x:v>Architecture diagrams; Service Quotas; network configuration; Auto Scaling; backup policies; restore tests; Route 53/ELB evidence; DR plans and test results</x:v>
      </x:c>
      <x:c r="L34" s="14" t="str">
        <x:v>Not Assessed</x:v>
      </x:c>
      <x:c r="M34" s="14"/>
      <x:c r="N34" s="14"/>
      <x:c r="O34" s="14"/>
      <x:c r="P34" s="14"/>
    </x:row>
    <x:row r="35">
      <x:c r="A35" s="14" t="str">
        <x:v>PRISM</x:v>
      </x:c>
      <x:c r="B35" s="14" t="str">
        <x:v>Reliability — Failure management</x:v>
      </x:c>
      <x:c r="C35" s="14" t="str">
        <x:v>REL 13</x:v>
      </x:c>
      <x:c r="D35" s="14" t="str">
        <x:v>How do you plan for disaster recovery (DR)?</x:v>
      </x:c>
      <x:c r="E35" s="14" t="str">
        <x:v>RTO/RPO, DR strategy, recovery procedures and testing</x:v>
      </x:c>
      <x:c r="F35" s="14" t="str">
        <x:v>REL 13</x:v>
      </x:c>
      <x:c r="G35" s="14" t="str">
        <x:v>Cloud Architecture / SRE / Operations</x:v>
      </x:c>
      <x:c r="H35" s="14" t="str">
        <x:v>Quarterly + material architecture change</x:v>
      </x:c>
      <x:c r="I35" s="14" t="str">
        <x:v>Assess the workload against the AWS Well-Architected Reliability pillar for rto/rpo, dr strategy, recovery procedures and testing.</x:v>
      </x:c>
      <x:c r="J35" s="14" t="str">
        <x:v>Evidence demonstrates that rto/rpo, dr strategy, recovery procedures and testing are intentionally designed, implemented, measured and reviewed; ownership is assigned; exceptions are documented; and gaps are remediated or risk-accepted.</x:v>
      </x:c>
      <x:c r="K35" s="14" t="str">
        <x:v>Architecture diagrams; Service Quotas; network configuration; Auto Scaling; backup policies; restore tests; Route 53/ELB evidence; DR plans and test results</x:v>
      </x:c>
      <x:c r="L35" s="14" t="str">
        <x:v>Not Assessed</x:v>
      </x:c>
      <x:c r="M35" s="14"/>
      <x:c r="N35" s="14"/>
      <x:c r="O35" s="14"/>
      <x:c r="P35" s="14"/>
    </x:row>
    <x:row r="36">
      <x:c r="A36" s="14" t="str">
        <x:v>PRISM</x:v>
      </x:c>
      <x:c r="B36" s="14" t="str">
        <x:v>Performance Efficiency — Architecture selection</x:v>
      </x:c>
      <x:c r="C36" s="14" t="str">
        <x:v>PERF 1</x:v>
      </x:c>
      <x:c r="D36" s="14" t="str">
        <x:v>How do you select appropriate cloud resources and architecture for your workload?</x:v>
      </x:c>
      <x:c r="E36" s="14" t="str">
        <x:v>Reference architectures, benchmarking, trade-offs and data-driven selection</x:v>
      </x:c>
      <x:c r="F36" s="14" t="str">
        <x:v>PERF 1</x:v>
      </x:c>
      <x:c r="G36" s="14" t="str">
        <x:v>Cloud Architecture / Application Engineering</x:v>
      </x:c>
      <x:c r="H36" s="14" t="str">
        <x:v>Quarterly + material architecture change</x:v>
      </x:c>
      <x:c r="I36" s="14" t="str">
        <x:v>Assess the workload against the AWS Well-Architected Performance Efficiency pillar for reference architectures, benchmarking, trade-offs and data-driven selection.</x:v>
      </x:c>
      <x:c r="J36" s="14" t="str">
        <x:v>Evidence demonstrates that reference architectures, benchmarking, trade-offs and data-driven selection are intentionally designed, implemented, measured and reviewed; ownership is assigned; exceptions are documented; and gaps are remediated or risk-accepted.</x:v>
      </x:c>
      <x:c r="K36" s="14" t="str">
        <x:v>Architecture decision records; CloudWatch metrics; load/performance tests; Compute Optimizer; database/storage/network metrics; scaling configuration</x:v>
      </x:c>
      <x:c r="L36" s="14" t="str">
        <x:v>Not Assessed</x:v>
      </x:c>
      <x:c r="M36" s="14"/>
      <x:c r="N36" s="14"/>
      <x:c r="O36" s="14"/>
      <x:c r="P36" s="14"/>
    </x:row>
    <x:row r="37">
      <x:c r="A37" s="14" t="str">
        <x:v>PRISM</x:v>
      </x:c>
      <x:c r="B37" s="14" t="str">
        <x:v>Performance Efficiency — Compute and hardware</x:v>
      </x:c>
      <x:c r="C37" s="14" t="str">
        <x:v>PERF 2</x:v>
      </x:c>
      <x:c r="D37" s="14" t="str">
        <x:v>How do you select and use compute resources in your workload?</x:v>
      </x:c>
      <x:c r="E37" s="14" t="str">
        <x:v>Compute selection, right-sizing, metrics and dynamic scaling</x:v>
      </x:c>
      <x:c r="F37" s="14" t="str">
        <x:v>PERF 2</x:v>
      </x:c>
      <x:c r="G37" s="14" t="str">
        <x:v>Cloud Architecture / Application Engineering</x:v>
      </x:c>
      <x:c r="H37" s="14" t="str">
        <x:v>Quarterly + material architecture change</x:v>
      </x:c>
      <x:c r="I37" s="14" t="str">
        <x:v>Assess the workload against the AWS Well-Architected Performance Efficiency pillar for compute selection, right-sizing, metrics and dynamic scaling.</x:v>
      </x:c>
      <x:c r="J37" s="14" t="str">
        <x:v>Evidence demonstrates that compute selection, right-sizing, metrics and dynamic scaling are intentionally designed, implemented, measured and reviewed; ownership is assigned; exceptions are documented; and gaps are remediated or risk-accepted.</x:v>
      </x:c>
      <x:c r="K37" s="14" t="str">
        <x:v>Architecture decision records; CloudWatch metrics; load/performance tests; Compute Optimizer; database/storage/network metrics; scaling configuration</x:v>
      </x:c>
      <x:c r="L37" s="14" t="str">
        <x:v>Not Assessed</x:v>
      </x:c>
      <x:c r="M37" s="14"/>
      <x:c r="N37" s="14"/>
      <x:c r="O37" s="14"/>
      <x:c r="P37" s="14"/>
    </x:row>
    <x:row r="38">
      <x:c r="A38" s="14" t="str">
        <x:v>PRISM</x:v>
      </x:c>
      <x:c r="B38" s="14" t="str">
        <x:v>Performance Efficiency — Data management</x:v>
      </x:c>
      <x:c r="C38" s="14" t="str">
        <x:v>PERF 3</x:v>
      </x:c>
      <x:c r="D38" s="14" t="str">
        <x:v>How do you select and use data management resources in your workload?</x:v>
      </x:c>
      <x:c r="E38" s="14" t="str">
        <x:v>Storage/database selection, access patterns, caching and performance</x:v>
      </x:c>
      <x:c r="F38" s="14" t="str">
        <x:v>PERF 3</x:v>
      </x:c>
      <x:c r="G38" s="14" t="str">
        <x:v>Cloud Architecture / Application Engineering</x:v>
      </x:c>
      <x:c r="H38" s="14" t="str">
        <x:v>Quarterly + material architecture change</x:v>
      </x:c>
      <x:c r="I38" s="14" t="str">
        <x:v>Assess the workload against the AWS Well-Architected Performance Efficiency pillar for storage/database selection, access patterns, caching and performance.</x:v>
      </x:c>
      <x:c r="J38" s="14" t="str">
        <x:v>Evidence demonstrates that storage/database selection, access patterns, caching and performance are intentionally designed, implemented, measured and reviewed; ownership is assigned; exceptions are documented; and gaps are remediated or risk-accepted.</x:v>
      </x:c>
      <x:c r="K38" s="14" t="str">
        <x:v>Architecture decision records; CloudWatch metrics; load/performance tests; Compute Optimizer; database/storage/network metrics; scaling configuration</x:v>
      </x:c>
      <x:c r="L38" s="14" t="str">
        <x:v>Not Assessed</x:v>
      </x:c>
      <x:c r="M38" s="14"/>
      <x:c r="N38" s="14"/>
      <x:c r="O38" s="14"/>
      <x:c r="P38" s="14"/>
    </x:row>
    <x:row r="39">
      <x:c r="A39" s="14" t="str">
        <x:v>PRISM</x:v>
      </x:c>
      <x:c r="B39" s="14" t="str">
        <x:v>Performance Efficiency — Networking and content delivery</x:v>
      </x:c>
      <x:c r="C39" s="14" t="str">
        <x:v>PERF 4</x:v>
      </x:c>
      <x:c r="D39" s="14" t="str">
        <x:v>How do you select and configure networking resources in your workload?</x:v>
      </x:c>
      <x:c r="E39" s="14" t="str">
        <x:v>Network design, latency, throughput, edge/content delivery and connectivity</x:v>
      </x:c>
      <x:c r="F39" s="14" t="str">
        <x:v>PERF 4</x:v>
      </x:c>
      <x:c r="G39" s="14" t="str">
        <x:v>Cloud Architecture / Application Engineering</x:v>
      </x:c>
      <x:c r="H39" s="14" t="str">
        <x:v>Quarterly + material architecture change</x:v>
      </x:c>
      <x:c r="I39" s="14" t="str">
        <x:v>Assess the workload against the AWS Well-Architected Performance Efficiency pillar for network design, latency, throughput, edge/content delivery and connectivity.</x:v>
      </x:c>
      <x:c r="J39" s="14" t="str">
        <x:v>Evidence demonstrates that network design, latency, throughput, edge/content delivery and connectivity are intentionally designed, implemented, measured and reviewed; ownership is assigned; exceptions are documented; and gaps are remediated or risk-accepted.</x:v>
      </x:c>
      <x:c r="K39" s="14" t="str">
        <x:v>Architecture decision records; CloudWatch metrics; load/performance tests; Compute Optimizer; database/storage/network metrics; scaling configuration</x:v>
      </x:c>
      <x:c r="L39" s="14" t="str">
        <x:v>Not Assessed</x:v>
      </x:c>
      <x:c r="M39" s="14"/>
      <x:c r="N39" s="14"/>
      <x:c r="O39" s="14"/>
      <x:c r="P39" s="14"/>
    </x:row>
    <x:row r="40">
      <x:c r="A40" s="14" t="str">
        <x:v>PRISM</x:v>
      </x:c>
      <x:c r="B40" s="14" t="str">
        <x:v>Performance Efficiency — Process and culture</x:v>
      </x:c>
      <x:c r="C40" s="14" t="str">
        <x:v>PERF 5</x:v>
      </x:c>
      <x:c r="D40" s="14" t="str">
        <x:v>How do your organizational practices and culture contribute to performance efficiency in your workload?</x:v>
      </x:c>
      <x:c r="E40" s="14" t="str">
        <x:v>KPIs, load testing, monitoring, automation and continuous tuning</x:v>
      </x:c>
      <x:c r="F40" s="14" t="str">
        <x:v>PERF 5</x:v>
      </x:c>
      <x:c r="G40" s="14" t="str">
        <x:v>Cloud Architecture / Application Engineering</x:v>
      </x:c>
      <x:c r="H40" s="14" t="str">
        <x:v>Quarterly + material architecture change</x:v>
      </x:c>
      <x:c r="I40" s="14" t="str">
        <x:v>Assess the workload against the AWS Well-Architected Performance Efficiency pillar for kpis, load testing, monitoring, automation and continuous tuning.</x:v>
      </x:c>
      <x:c r="J40" s="14" t="str">
        <x:v>Evidence demonstrates that kpis, load testing, monitoring, automation and continuous tuning are intentionally designed, implemented, measured and reviewed; ownership is assigned; exceptions are documented; and gaps are remediated or risk-accepted.</x:v>
      </x:c>
      <x:c r="K40" s="14" t="str">
        <x:v>Architecture decision records; CloudWatch metrics; load/performance tests; Compute Optimizer; database/storage/network metrics; scaling configuration</x:v>
      </x:c>
      <x:c r="L40" s="14" t="str">
        <x:v>Not Assessed</x:v>
      </x:c>
      <x:c r="M40" s="14"/>
      <x:c r="N40" s="14"/>
      <x:c r="O40" s="14"/>
      <x:c r="P40" s="14"/>
    </x:row>
    <x:row r="41">
      <x:c r="A41" s="14" t="str">
        <x:v>PRISM</x:v>
      </x:c>
      <x:c r="B41" s="14" t="str">
        <x:v>Cost Optimization — Cloud Financial Management</x:v>
      </x:c>
      <x:c r="C41" s="14" t="str">
        <x:v>COST 1</x:v>
      </x:c>
      <x:c r="D41" s="14" t="str">
        <x:v>How do you implement cloud financial management?</x:v>
      </x:c>
      <x:c r="E41" s="14" t="str">
        <x:v>Cost ownership, budgets, forecasting, reporting and cost-aware culture</x:v>
      </x:c>
      <x:c r="F41" s="14" t="str">
        <x:v>COST 1</x:v>
      </x:c>
      <x:c r="G41" s="14" t="str">
        <x:v>FinOps / Cloud Platform / Finance</x:v>
      </x:c>
      <x:c r="H41" s="14" t="str">
        <x:v>Quarterly + material architecture change</x:v>
      </x:c>
      <x:c r="I41" s="14" t="str">
        <x:v>Assess the workload against the AWS Well-Architected Cost Optimization pillar for cost ownership, budgets, forecasting, reporting and cost-aware culture.</x:v>
      </x:c>
      <x:c r="J41" s="14" t="str">
        <x:v>Evidence demonstrates that cost ownership, budgets, forecasting, reporting and cost-aware culture are intentionally designed, implemented, measured and reviewed; ownership is assigned; exceptions are documented; and gaps are remediated or risk-accepted.</x:v>
      </x:c>
      <x:c r="K41" s="14" t="str">
        <x:v>Cost and Usage Report; Cost Explorer; AWS Budgets; Cost Anomaly Detection; tagging policy; Savings Plans/RI analysis; rightsizing and decommission records</x:v>
      </x:c>
      <x:c r="L41" s="14" t="str">
        <x:v>Not Assessed</x:v>
      </x:c>
      <x:c r="M41" s="14"/>
      <x:c r="N41" s="14"/>
      <x:c r="O41" s="14"/>
      <x:c r="P41" s="14"/>
    </x:row>
    <x:row r="42">
      <x:c r="A42" s="14" t="str">
        <x:v>PRISM</x:v>
      </x:c>
      <x:c r="B42" s="14" t="str">
        <x:v>Cost Optimization — Expenditure and usage awareness</x:v>
      </x:c>
      <x:c r="C42" s="14" t="str">
        <x:v>COST 2</x:v>
      </x:c>
      <x:c r="D42" s="14" t="str">
        <x:v>How do you govern usage?</x:v>
      </x:c>
      <x:c r="E42" s="14" t="str">
        <x:v>Usage policies, account controls, guardrails and approved services</x:v>
      </x:c>
      <x:c r="F42" s="14" t="str">
        <x:v>COST 2</x:v>
      </x:c>
      <x:c r="G42" s="14" t="str">
        <x:v>FinOps / Cloud Platform / Finance</x:v>
      </x:c>
      <x:c r="H42" s="14" t="str">
        <x:v>Quarterly + material architecture change</x:v>
      </x:c>
      <x:c r="I42" s="14" t="str">
        <x:v>Assess the workload against the AWS Well-Architected Cost Optimization pillar for usage policies, account controls, guardrails and approved services.</x:v>
      </x:c>
      <x:c r="J42" s="14" t="str">
        <x:v>Evidence demonstrates that usage policies, account controls, guardrails and approved services are intentionally designed, implemented, measured and reviewed; ownership is assigned; exceptions are documented; and gaps are remediated or risk-accepted.</x:v>
      </x:c>
      <x:c r="K42" s="14" t="str">
        <x:v>Cost and Usage Report; Cost Explorer; AWS Budgets; Cost Anomaly Detection; tagging policy; Savings Plans/RI analysis; rightsizing and decommission records</x:v>
      </x:c>
      <x:c r="L42" s="14" t="str">
        <x:v>Not Assessed</x:v>
      </x:c>
      <x:c r="M42" s="14"/>
      <x:c r="N42" s="14"/>
      <x:c r="O42" s="14"/>
      <x:c r="P42" s="14"/>
    </x:row>
    <x:row r="43">
      <x:c r="A43" s="14" t="str">
        <x:v>PRISM</x:v>
      </x:c>
      <x:c r="B43" s="14" t="str">
        <x:v>Cost Optimization — Expenditure and usage awareness</x:v>
      </x:c>
      <x:c r="C43" s="14" t="str">
        <x:v>COST 3</x:v>
      </x:c>
      <x:c r="D43" s="14" t="str">
        <x:v>How do you monitor usage and cost?</x:v>
      </x:c>
      <x:c r="E43" s="14" t="str">
        <x:v>Cost allocation, tagging, reporting, anomaly detection and metrics</x:v>
      </x:c>
      <x:c r="F43" s="14" t="str">
        <x:v>COST 3</x:v>
      </x:c>
      <x:c r="G43" s="14" t="str">
        <x:v>FinOps / Cloud Platform / Finance</x:v>
      </x:c>
      <x:c r="H43" s="14" t="str">
        <x:v>Quarterly + material architecture change</x:v>
      </x:c>
      <x:c r="I43" s="14" t="str">
        <x:v>Assess the workload against the AWS Well-Architected Cost Optimization pillar for cost allocation, tagging, reporting, anomaly detection and metrics.</x:v>
      </x:c>
      <x:c r="J43" s="14" t="str">
        <x:v>Evidence demonstrates that cost allocation, tagging, reporting, anomaly detection and metrics are intentionally designed, implemented, measured and reviewed; ownership is assigned; exceptions are documented; and gaps are remediated or risk-accepted.</x:v>
      </x:c>
      <x:c r="K43" s="14" t="str">
        <x:v>Cost and Usage Report; Cost Explorer; AWS Budgets; Cost Anomaly Detection; tagging policy; Savings Plans/RI analysis; rightsizing and decommission records</x:v>
      </x:c>
      <x:c r="L43" s="14" t="str">
        <x:v>Not Assessed</x:v>
      </x:c>
      <x:c r="M43" s="14"/>
      <x:c r="N43" s="14"/>
      <x:c r="O43" s="14"/>
      <x:c r="P43" s="14"/>
    </x:row>
    <x:row r="44">
      <x:c r="A44" s="14" t="str">
        <x:v>PRISM</x:v>
      </x:c>
      <x:c r="B44" s="14" t="str">
        <x:v>Cost Optimization — Expenditure and usage awareness</x:v>
      </x:c>
      <x:c r="C44" s="14" t="str">
        <x:v>COST 4</x:v>
      </x:c>
      <x:c r="D44" s="14" t="str">
        <x:v>How do you decommission resources?</x:v>
      </x:c>
      <x:c r="E44" s="14" t="str">
        <x:v>Lifecycle tracking, retention and automated decommissioning</x:v>
      </x:c>
      <x:c r="F44" s="14" t="str">
        <x:v>COST 4</x:v>
      </x:c>
      <x:c r="G44" s="14" t="str">
        <x:v>FinOps / Cloud Platform / Finance</x:v>
      </x:c>
      <x:c r="H44" s="14" t="str">
        <x:v>Quarterly + material architecture change</x:v>
      </x:c>
      <x:c r="I44" s="14" t="str">
        <x:v>Assess the workload against the AWS Well-Architected Cost Optimization pillar for lifecycle tracking, retention and automated decommissioning.</x:v>
      </x:c>
      <x:c r="J44" s="14" t="str">
        <x:v>Evidence demonstrates that lifecycle tracking, retention and automated decommissioning are intentionally designed, implemented, measured and reviewed; ownership is assigned; exceptions are documented; and gaps are remediated or risk-accepted.</x:v>
      </x:c>
      <x:c r="K44" s="14" t="str">
        <x:v>Cost and Usage Report; Cost Explorer; AWS Budgets; Cost Anomaly Detection; tagging policy; Savings Plans/RI analysis; rightsizing and decommission records</x:v>
      </x:c>
      <x:c r="L44" s="14" t="str">
        <x:v>Not Assessed</x:v>
      </x:c>
      <x:c r="M44" s="14"/>
      <x:c r="N44" s="14"/>
      <x:c r="O44" s="14"/>
      <x:c r="P44" s="14"/>
    </x:row>
    <x:row r="45">
      <x:c r="A45" s="14" t="str">
        <x:v>PRISM</x:v>
      </x:c>
      <x:c r="B45" s="14" t="str">
        <x:v>Cost Optimization — Cost-effective resources</x:v>
      </x:c>
      <x:c r="C45" s="14" t="str">
        <x:v>COST 5</x:v>
      </x:c>
      <x:c r="D45" s="14" t="str">
        <x:v>How do you evaluate cost when you select services?</x:v>
      </x:c>
      <x:c r="E45" s="14" t="str">
        <x:v>TCO, managed services, licensing and component cost analysis</x:v>
      </x:c>
      <x:c r="F45" s="14" t="str">
        <x:v>COST 5</x:v>
      </x:c>
      <x:c r="G45" s="14" t="str">
        <x:v>FinOps / Cloud Platform / Finance</x:v>
      </x:c>
      <x:c r="H45" s="14" t="str">
        <x:v>Quarterly + material architecture change</x:v>
      </x:c>
      <x:c r="I45" s="14" t="str">
        <x:v>Assess the workload against the AWS Well-Architected Cost Optimization pillar for tco, managed services, licensing and component cost analysis.</x:v>
      </x:c>
      <x:c r="J45" s="14" t="str">
        <x:v>Evidence demonstrates that tco, managed services, licensing and component cost analysis are intentionally designed, implemented, measured and reviewed; ownership is assigned; exceptions are documented; and gaps are remediated or risk-accepted.</x:v>
      </x:c>
      <x:c r="K45" s="14" t="str">
        <x:v>Cost and Usage Report; Cost Explorer; AWS Budgets; Cost Anomaly Detection; tagging policy; Savings Plans/RI analysis; rightsizing and decommission records</x:v>
      </x:c>
      <x:c r="L45" s="14" t="str">
        <x:v>Not Assessed</x:v>
      </x:c>
      <x:c r="M45" s="14"/>
      <x:c r="N45" s="14"/>
      <x:c r="O45" s="14"/>
      <x:c r="P45" s="14"/>
    </x:row>
    <x:row r="46">
      <x:c r="A46" s="14" t="str">
        <x:v>PRISM</x:v>
      </x:c>
      <x:c r="B46" s="14" t="str">
        <x:v>Cost Optimization — Cost-effective resources</x:v>
      </x:c>
      <x:c r="C46" s="14" t="str">
        <x:v>COST 6</x:v>
      </x:c>
      <x:c r="D46" s="14" t="str">
        <x:v>How do you meet cost targets when you select resource type, size and number?</x:v>
      </x:c>
      <x:c r="E46" s="14" t="str">
        <x:v>Cost modeling, rightsizing and metric-driven selection</x:v>
      </x:c>
      <x:c r="F46" s="14" t="str">
        <x:v>COST 6</x:v>
      </x:c>
      <x:c r="G46" s="14" t="str">
        <x:v>FinOps / Cloud Platform / Finance</x:v>
      </x:c>
      <x:c r="H46" s="14" t="str">
        <x:v>Quarterly + material architecture change</x:v>
      </x:c>
      <x:c r="I46" s="14" t="str">
        <x:v>Assess the workload against the AWS Well-Architected Cost Optimization pillar for cost modeling, rightsizing and metric-driven selection.</x:v>
      </x:c>
      <x:c r="J46" s="14" t="str">
        <x:v>Evidence demonstrates that cost modeling, rightsizing and metric-driven selection are intentionally designed, implemented, measured and reviewed; ownership is assigned; exceptions are documented; and gaps are remediated or risk-accepted.</x:v>
      </x:c>
      <x:c r="K46" s="14" t="str">
        <x:v>Cost and Usage Report; Cost Explorer; AWS Budgets; Cost Anomaly Detection; tagging policy; Savings Plans/RI analysis; rightsizing and decommission records</x:v>
      </x:c>
      <x:c r="L46" s="14" t="str">
        <x:v>Not Assessed</x:v>
      </x:c>
      <x:c r="M46" s="14"/>
      <x:c r="N46" s="14"/>
      <x:c r="O46" s="14"/>
      <x:c r="P46" s="14"/>
    </x:row>
    <x:row r="47">
      <x:c r="A47" s="14" t="str">
        <x:v>PRISM</x:v>
      </x:c>
      <x:c r="B47" s="14" t="str">
        <x:v>Cost Optimization — Cost-effective resources</x:v>
      </x:c>
      <x:c r="C47" s="14" t="str">
        <x:v>COST 7</x:v>
      </x:c>
      <x:c r="D47" s="14" t="str">
        <x:v>How do you use pricing models to reduce cost?</x:v>
      </x:c>
      <x:c r="E47" s="14" t="str">
        <x:v>Savings Plans, Reserved Instances, Spot and commercial terms</x:v>
      </x:c>
      <x:c r="F47" s="14" t="str">
        <x:v>COST 7</x:v>
      </x:c>
      <x:c r="G47" s="14" t="str">
        <x:v>FinOps / Cloud Platform / Finance</x:v>
      </x:c>
      <x:c r="H47" s="14" t="str">
        <x:v>Quarterly + material architecture change</x:v>
      </x:c>
      <x:c r="I47" s="14" t="str">
        <x:v>Assess the workload against the AWS Well-Architected Cost Optimization pillar for savings plans, reserved instances, spot and commercial terms.</x:v>
      </x:c>
      <x:c r="J47" s="14" t="str">
        <x:v>Evidence demonstrates that savings plans, reserved instances, spot and commercial terms are intentionally designed, implemented, measured and reviewed; ownership is assigned; exceptions are documented; and gaps are remediated or risk-accepted.</x:v>
      </x:c>
      <x:c r="K47" s="14" t="str">
        <x:v>Cost and Usage Report; Cost Explorer; AWS Budgets; Cost Anomaly Detection; tagging policy; Savings Plans/RI analysis; rightsizing and decommission records</x:v>
      </x:c>
      <x:c r="L47" s="14" t="str">
        <x:v>Not Assessed</x:v>
      </x:c>
      <x:c r="M47" s="14"/>
      <x:c r="N47" s="14"/>
      <x:c r="O47" s="14"/>
      <x:c r="P47" s="14"/>
    </x:row>
    <x:row r="48">
      <x:c r="A48" s="14" t="str">
        <x:v>PRISM</x:v>
      </x:c>
      <x:c r="B48" s="14" t="str">
        <x:v>Cost Optimization — Cost-effective resources</x:v>
      </x:c>
      <x:c r="C48" s="14" t="str">
        <x:v>COST 8</x:v>
      </x:c>
      <x:c r="D48" s="14" t="str">
        <x:v>How do you plan for data transfer charges?</x:v>
      </x:c>
      <x:c r="E48" s="14" t="str">
        <x:v>Transfer modeling, architecture choices and optimization</x:v>
      </x:c>
      <x:c r="F48" s="14" t="str">
        <x:v>COST 8</x:v>
      </x:c>
      <x:c r="G48" s="14" t="str">
        <x:v>FinOps / Cloud Platform / Finance</x:v>
      </x:c>
      <x:c r="H48" s="14" t="str">
        <x:v>Quarterly + material architecture change</x:v>
      </x:c>
      <x:c r="I48" s="14" t="str">
        <x:v>Assess the workload against the AWS Well-Architected Cost Optimization pillar for transfer modeling, architecture choices and optimization.</x:v>
      </x:c>
      <x:c r="J48" s="14" t="str">
        <x:v>Evidence demonstrates that transfer modeling, architecture choices and optimization are intentionally designed, implemented, measured and reviewed; ownership is assigned; exceptions are documented; and gaps are remediated or risk-accepted.</x:v>
      </x:c>
      <x:c r="K48" s="14" t="str">
        <x:v>Cost and Usage Report; Cost Explorer; AWS Budgets; Cost Anomaly Detection; tagging policy; Savings Plans/RI analysis; rightsizing and decommission records</x:v>
      </x:c>
      <x:c r="L48" s="14" t="str">
        <x:v>Not Assessed</x:v>
      </x:c>
      <x:c r="M48" s="14"/>
      <x:c r="N48" s="14"/>
      <x:c r="O48" s="14"/>
      <x:c r="P48" s="14"/>
    </x:row>
    <x:row r="49">
      <x:c r="A49" s="14" t="str">
        <x:v>PRISM</x:v>
      </x:c>
      <x:c r="B49" s="14" t="str">
        <x:v>Cost Optimization — Manage demand and supply resources</x:v>
      </x:c>
      <x:c r="C49" s="14" t="str">
        <x:v>COST 9</x:v>
      </x:c>
      <x:c r="D49" s="14" t="str">
        <x:v>How do you manage demand, and supply resources?</x:v>
      </x:c>
      <x:c r="E49" s="14" t="str">
        <x:v>Demand analysis, buffering/throttling and dynamic supply</x:v>
      </x:c>
      <x:c r="F49" s="14" t="str">
        <x:v>COST 9</x:v>
      </x:c>
      <x:c r="G49" s="14" t="str">
        <x:v>FinOps / Cloud Platform / Finance</x:v>
      </x:c>
      <x:c r="H49" s="14" t="str">
        <x:v>Quarterly + material architecture change</x:v>
      </x:c>
      <x:c r="I49" s="14" t="str">
        <x:v>Assess the workload against the AWS Well-Architected Cost Optimization pillar for demand analysis, buffering/throttling and dynamic supply.</x:v>
      </x:c>
      <x:c r="J49" s="14" t="str">
        <x:v>Evidence demonstrates that demand analysis, buffering/throttling and dynamic supply are intentionally designed, implemented, measured and reviewed; ownership is assigned; exceptions are documented; and gaps are remediated or risk-accepted.</x:v>
      </x:c>
      <x:c r="K49" s="14" t="str">
        <x:v>Cost and Usage Report; Cost Explorer; AWS Budgets; Cost Anomaly Detection; tagging policy; Savings Plans/RI analysis; rightsizing and decommission records</x:v>
      </x:c>
      <x:c r="L49" s="14" t="str">
        <x:v>Not Assessed</x:v>
      </x:c>
      <x:c r="M49" s="14"/>
      <x:c r="N49" s="14"/>
      <x:c r="O49" s="14"/>
      <x:c r="P49" s="14"/>
    </x:row>
    <x:row r="50">
      <x:c r="A50" s="14" t="str">
        <x:v>PRISM</x:v>
      </x:c>
      <x:c r="B50" s="14" t="str">
        <x:v>Cost Optimization — Optimize over time</x:v>
      </x:c>
      <x:c r="C50" s="14" t="str">
        <x:v>COST 10</x:v>
      </x:c>
      <x:c r="D50" s="14" t="str">
        <x:v>How do you evaluate new services?</x:v>
      </x:c>
      <x:c r="E50" s="14" t="str">
        <x:v>Regular workload reviews and adoption of cost-efficient services</x:v>
      </x:c>
      <x:c r="F50" s="14" t="str">
        <x:v>COST 10</x:v>
      </x:c>
      <x:c r="G50" s="14" t="str">
        <x:v>FinOps / Cloud Platform / Finance</x:v>
      </x:c>
      <x:c r="H50" s="14" t="str">
        <x:v>Quarterly + material architecture change</x:v>
      </x:c>
      <x:c r="I50" s="14" t="str">
        <x:v>Assess the workload against the AWS Well-Architected Cost Optimization pillar for regular workload reviews and adoption of cost-efficient services.</x:v>
      </x:c>
      <x:c r="J50" s="14" t="str">
        <x:v>Evidence demonstrates that regular workload reviews and adoption of cost-efficient services are intentionally designed, implemented, measured and reviewed; ownership is assigned; exceptions are documented; and gaps are remediated or risk-accepted.</x:v>
      </x:c>
      <x:c r="K50" s="14" t="str">
        <x:v>Cost and Usage Report; Cost Explorer; AWS Budgets; Cost Anomaly Detection; tagging policy; Savings Plans/RI analysis; rightsizing and decommission records</x:v>
      </x:c>
      <x:c r="L50" s="14" t="str">
        <x:v>Not Assessed</x:v>
      </x:c>
      <x:c r="M50" s="14"/>
      <x:c r="N50" s="14"/>
      <x:c r="O50" s="14"/>
      <x:c r="P50" s="14"/>
    </x:row>
    <x:row r="51">
      <x:c r="A51" s="14" t="str">
        <x:v>PRISM</x:v>
      </x:c>
      <x:c r="B51" s="14" t="str">
        <x:v>Cost Optimization — Optimize over time</x:v>
      </x:c>
      <x:c r="C51" s="14" t="str">
        <x:v>COST 11</x:v>
      </x:c>
      <x:c r="D51" s="14" t="str">
        <x:v>How do you evaluate the cost of effort?</x:v>
      </x:c>
      <x:c r="E51" s="14" t="str">
        <x:v>Operational automation and engineering-effort economics</x:v>
      </x:c>
      <x:c r="F51" s="14" t="str">
        <x:v>COST 11</x:v>
      </x:c>
      <x:c r="G51" s="14" t="str">
        <x:v>FinOps / Cloud Platform / Finance</x:v>
      </x:c>
      <x:c r="H51" s="14" t="str">
        <x:v>Quarterly + material architecture change</x:v>
      </x:c>
      <x:c r="I51" s="14" t="str">
        <x:v>Assess the workload against the AWS Well-Architected Cost Optimization pillar for operational automation and engineering-effort economics.</x:v>
      </x:c>
      <x:c r="J51" s="14" t="str">
        <x:v>Evidence demonstrates that operational automation and engineering-effort economics are intentionally designed, implemented, measured and reviewed; ownership is assigned; exceptions are documented; and gaps are remediated or risk-accepted.</x:v>
      </x:c>
      <x:c r="K51" s="14" t="str">
        <x:v>Cost and Usage Report; Cost Explorer; AWS Budgets; Cost Anomaly Detection; tagging policy; Savings Plans/RI analysis; rightsizing and decommission records</x:v>
      </x:c>
      <x:c r="L51" s="14" t="str">
        <x:v>Not Assessed</x:v>
      </x:c>
      <x:c r="M51" s="14"/>
      <x:c r="N51" s="14"/>
      <x:c r="O51" s="14"/>
      <x:c r="P51" s="14"/>
    </x:row>
    <x:row r="52">
      <x:c r="A52" s="14" t="str">
        <x:v>PRISM</x:v>
      </x:c>
      <x:c r="B52" s="14" t="str">
        <x:v>Sustainability — Region selection</x:v>
      </x:c>
      <x:c r="C52" s="14" t="str">
        <x:v>SUS 1</x:v>
      </x:c>
      <x:c r="D52" s="14" t="str">
        <x:v>How do you select Regions for your workload?</x:v>
      </x:c>
      <x:c r="E52" s="14" t="str">
        <x:v>Business requirements and sustainability goals</x:v>
      </x:c>
      <x:c r="F52" s="14" t="str">
        <x:v>SUS 1</x:v>
      </x:c>
      <x:c r="G52" s="14" t="str">
        <x:v>Cloud Architecture / FinOps / ESG</x:v>
      </x:c>
      <x:c r="H52" s="14" t="str">
        <x:v>Quarterly + material architecture change</x:v>
      </x:c>
      <x:c r="I52" s="14" t="str">
        <x:v>Assess the workload against the AWS Well-Architected Sustainability pillar for business requirements and sustainability goals.</x:v>
      </x:c>
      <x:c r="J52" s="14" t="str">
        <x:v>Evidence demonstrates that business requirements and sustainability goals are intentionally designed, implemented, measured and reviewed; ownership is assigned; exceptions are documented; and gaps are remediated or risk-accepted.</x:v>
      </x:c>
      <x:c r="K52" s="14" t="str">
        <x:v>Utilization metrics; autoscaling configuration; lifecycle policies; architecture decisions; resource optimization records; carbon footprint reporting where applicable</x:v>
      </x:c>
      <x:c r="L52" s="14" t="str">
        <x:v>Not Assessed</x:v>
      </x:c>
      <x:c r="M52" s="14"/>
      <x:c r="N52" s="14"/>
      <x:c r="O52" s="14"/>
      <x:c r="P52" s="14"/>
    </x:row>
    <x:row r="53">
      <x:c r="A53" s="14" t="str">
        <x:v>PRISM</x:v>
      </x:c>
      <x:c r="B53" s="14" t="str">
        <x:v>Sustainability — Alignment to demand</x:v>
      </x:c>
      <x:c r="C53" s="14" t="str">
        <x:v>SUS 2</x:v>
      </x:c>
      <x:c r="D53" s="14" t="str">
        <x:v>How do you align cloud resources to your demand?</x:v>
      </x:c>
      <x:c r="E53" s="14" t="str">
        <x:v>Dynamic scaling, unused assets, placement and demand smoothing</x:v>
      </x:c>
      <x:c r="F53" s="14" t="str">
        <x:v>SUS 2</x:v>
      </x:c>
      <x:c r="G53" s="14" t="str">
        <x:v>Cloud Architecture / FinOps / ESG</x:v>
      </x:c>
      <x:c r="H53" s="14" t="str">
        <x:v>Quarterly + material architecture change</x:v>
      </x:c>
      <x:c r="I53" s="14" t="str">
        <x:v>Assess the workload against the AWS Well-Architected Sustainability pillar for dynamic scaling, unused assets, placement and demand smoothing.</x:v>
      </x:c>
      <x:c r="J53" s="14" t="str">
        <x:v>Evidence demonstrates that dynamic scaling, unused assets, placement and demand smoothing are intentionally designed, implemented, measured and reviewed; ownership is assigned; exceptions are documented; and gaps are remediated or risk-accepted.</x:v>
      </x:c>
      <x:c r="K53" s="14" t="str">
        <x:v>Utilization metrics; autoscaling configuration; lifecycle policies; architecture decisions; resource optimization records; carbon footprint reporting where applicable</x:v>
      </x:c>
      <x:c r="L53" s="14" t="str">
        <x:v>Not Assessed</x:v>
      </x:c>
      <x:c r="M53" s="14"/>
      <x:c r="N53" s="14"/>
      <x:c r="O53" s="14"/>
      <x:c r="P53" s="14"/>
    </x:row>
    <x:row r="54">
      <x:c r="A54" s="14" t="str">
        <x:v>PRISM</x:v>
      </x:c>
      <x:c r="B54" s="14" t="str">
        <x:v>Sustainability — Software and architecture</x:v>
      </x:c>
      <x:c r="C54" s="14" t="str">
        <x:v>SUS 3</x:v>
      </x:c>
      <x:c r="D54" s="14" t="str">
        <x:v>How do you take advantage of software and architecture patterns to support your sustainability goals?</x:v>
      </x:c>
      <x:c r="E54" s="14" t="str">
        <x:v>Efficient software, asynchronous patterns and removal of low-use components</x:v>
      </x:c>
      <x:c r="F54" s="14" t="str">
        <x:v>SUS 3</x:v>
      </x:c>
      <x:c r="G54" s="14" t="str">
        <x:v>Cloud Architecture / FinOps / ESG</x:v>
      </x:c>
      <x:c r="H54" s="14" t="str">
        <x:v>Quarterly + material architecture change</x:v>
      </x:c>
      <x:c r="I54" s="14" t="str">
        <x:v>Assess the workload against the AWS Well-Architected Sustainability pillar for efficient software, asynchronous patterns and removal of low-use components.</x:v>
      </x:c>
      <x:c r="J54" s="14" t="str">
        <x:v>Evidence demonstrates that efficient software, asynchronous patterns and removal of low-use components are intentionally designed, implemented, measured and reviewed; ownership is assigned; exceptions are documented; and gaps are remediated or risk-accepted.</x:v>
      </x:c>
      <x:c r="K54" s="14" t="str">
        <x:v>Utilization metrics; autoscaling configuration; lifecycle policies; architecture decisions; resource optimization records; carbon footprint reporting where applicable</x:v>
      </x:c>
      <x:c r="L54" s="14" t="str">
        <x:v>Not Assessed</x:v>
      </x:c>
      <x:c r="M54" s="14"/>
      <x:c r="N54" s="14"/>
      <x:c r="O54" s="14"/>
      <x:c r="P54" s="14"/>
    </x:row>
    <x:row r="55">
      <x:c r="A55" s="14" t="str">
        <x:v>PRISM</x:v>
      </x:c>
      <x:c r="B55" s="14" t="str">
        <x:v>Sustainability — Data management</x:v>
      </x:c>
      <x:c r="C55" s="14" t="str">
        <x:v>SUS 4</x:v>
      </x:c>
      <x:c r="D55" s="14" t="str">
        <x:v>How do you take advantage of data management policies and patterns to support your sustainability goals?</x:v>
      </x:c>
      <x:c r="E55" s="14" t="str">
        <x:v>Data lifecycle, storage efficiency, data movement and backup efficiency</x:v>
      </x:c>
      <x:c r="F55" s="14" t="str">
        <x:v>SUS 4</x:v>
      </x:c>
      <x:c r="G55" s="14" t="str">
        <x:v>Cloud Architecture / FinOps / ESG</x:v>
      </x:c>
      <x:c r="H55" s="14" t="str">
        <x:v>Quarterly + material architecture change</x:v>
      </x:c>
      <x:c r="I55" s="14" t="str">
        <x:v>Assess the workload against the AWS Well-Architected Sustainability pillar for data lifecycle, storage efficiency, data movement and backup efficiency.</x:v>
      </x:c>
      <x:c r="J55" s="14" t="str">
        <x:v>Evidence demonstrates that data lifecycle, storage efficiency, data movement and backup efficiency are intentionally designed, implemented, measured and reviewed; ownership is assigned; exceptions are documented; and gaps are remediated or risk-accepted.</x:v>
      </x:c>
      <x:c r="K55" s="14" t="str">
        <x:v>Utilization metrics; autoscaling configuration; lifecycle policies; architecture decisions; resource optimization records; carbon footprint reporting where applicable</x:v>
      </x:c>
      <x:c r="L55" s="14" t="str">
        <x:v>Not Assessed</x:v>
      </x:c>
      <x:c r="M55" s="14"/>
      <x:c r="N55" s="14"/>
      <x:c r="O55" s="14"/>
      <x:c r="P55" s="14"/>
    </x:row>
    <x:row r="56">
      <x:c r="A56" s="14" t="str">
        <x:v>PRISM</x:v>
      </x:c>
      <x:c r="B56" s="14" t="str">
        <x:v>Sustainability — Hardware and services</x:v>
      </x:c>
      <x:c r="C56" s="14" t="str">
        <x:v>SUS 5</x:v>
      </x:c>
      <x:c r="D56" s="14" t="str">
        <x:v>How do you select and use cloud hardware and services in your architecture to support your sustainability goals?</x:v>
      </x:c>
      <x:c r="E56" s="14" t="str">
        <x:v>Minimum hardware, efficient instance types, managed services and accelerators</x:v>
      </x:c>
      <x:c r="F56" s="14" t="str">
        <x:v>SUS 5</x:v>
      </x:c>
      <x:c r="G56" s="14" t="str">
        <x:v>Cloud Architecture / FinOps / ESG</x:v>
      </x:c>
      <x:c r="H56" s="14" t="str">
        <x:v>Quarterly + material architecture change</x:v>
      </x:c>
      <x:c r="I56" s="14" t="str">
        <x:v>Assess the workload against the AWS Well-Architected Sustainability pillar for minimum hardware, efficient instance types, managed services and accelerators.</x:v>
      </x:c>
      <x:c r="J56" s="14" t="str">
        <x:v>Evidence demonstrates that minimum hardware, efficient instance types, managed services and accelerators are intentionally designed, implemented, measured and reviewed; ownership is assigned; exceptions are documented; and gaps are remediated or risk-accepted.</x:v>
      </x:c>
      <x:c r="K56" s="14" t="str">
        <x:v>Utilization metrics; autoscaling configuration; lifecycle policies; architecture decisions; resource optimization records; carbon footprint reporting where applicable</x:v>
      </x:c>
      <x:c r="L56" s="14" t="str">
        <x:v>Not Assessed</x:v>
      </x:c>
      <x:c r="M56" s="14"/>
      <x:c r="N56" s="14"/>
      <x:c r="O56" s="14"/>
      <x:c r="P56" s="14"/>
    </x:row>
    <x:row r="57">
      <x:c r="A57" s="14" t="str">
        <x:v>PRISM</x:v>
      </x:c>
      <x:c r="B57" s="14" t="str">
        <x:v>Sustainability — Process and culture</x:v>
      </x:c>
      <x:c r="C57" s="14" t="str">
        <x:v>SUS 6</x:v>
      </x:c>
      <x:c r="D57" s="14" t="str">
        <x:v>How do your organizational processes support your sustainability goals?</x:v>
      </x:c>
      <x:c r="E57" s="14" t="str">
        <x:v>Sustainability objectives, rapid improvement, current services and efficient test environments</x:v>
      </x:c>
      <x:c r="F57" s="14" t="str">
        <x:v>SUS 6</x:v>
      </x:c>
      <x:c r="G57" s="14" t="str">
        <x:v>Cloud Architecture / FinOps / ESG</x:v>
      </x:c>
      <x:c r="H57" s="14" t="str">
        <x:v>Quarterly + material architecture change</x:v>
      </x:c>
      <x:c r="I57" s="14" t="str">
        <x:v>Assess the workload against the AWS Well-Architected Sustainability pillar for sustainability objectives, rapid improvement, current services and efficient test environments.</x:v>
      </x:c>
      <x:c r="J57" s="14" t="str">
        <x:v>Evidence demonstrates that sustainability objectives, rapid improvement, current services and efficient test environments are intentionally designed, implemented, measured and reviewed; ownership is assigned; exceptions are documented; and gaps are remediated or risk-accepted.</x:v>
      </x:c>
      <x:c r="K57" s="14" t="str">
        <x:v>Utilization metrics; autoscaling configuration; lifecycle policies; architecture decisions; resource optimization records; carbon footprint reporting where applicable</x:v>
      </x:c>
      <x:c r="L57" s="14" t="str">
        <x:v>Not Assessed</x:v>
      </x:c>
      <x:c r="M57" s="14"/>
      <x:c r="N57" s="14"/>
      <x:c r="O57" s="14"/>
      <x:c r="P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</x:row>
    <x:row r="201">
      <x:c r="A201" s="14"/>
      <x:c r="B201" s="14"/>
      <x:c r="C201" s="14"/>
      <x:c r="D201" s="14"/>
      <x:c r="E201" s="14"/>
      <x:c r="F201" s="14"/>
      <x:c r="G201" s="14"/>
      <x:c r="H201" s="14"/>
      <x:c r="I201" s="14"/>
      <x:c r="J201" s="14"/>
      <x:c r="K201" s="14"/>
      <x:c r="L201" s="14"/>
      <x:c r="M201" s="14"/>
      <x:c r="N201" s="14"/>
      <x:c r="O201" s="14"/>
      <x:c r="P201" s="14"/>
    </x:row>
    <x:row r="202">
      <x:c r="A202" s="14"/>
      <x:c r="B202" s="14"/>
      <x:c r="C202" s="14"/>
      <x:c r="D202" s="14"/>
      <x:c r="E202" s="14"/>
      <x:c r="F202" s="14"/>
      <x:c r="G202" s="14"/>
      <x:c r="H202" s="14"/>
      <x:c r="I202" s="14"/>
      <x:c r="J202" s="14"/>
      <x:c r="K202" s="14"/>
      <x:c r="L202" s="14"/>
      <x:c r="M202" s="14"/>
      <x:c r="N202" s="14"/>
      <x:c r="O202" s="14"/>
      <x:c r="P202" s="14"/>
    </x:row>
    <x:row r="203">
      <x:c r="A203" s="14"/>
      <x:c r="B203" s="14"/>
      <x:c r="C203" s="14"/>
      <x:c r="D203" s="14"/>
      <x:c r="E203" s="14"/>
      <x:c r="F203" s="14"/>
      <x:c r="G203" s="14"/>
      <x:c r="H203" s="14"/>
      <x:c r="I203" s="14"/>
      <x:c r="J203" s="14"/>
      <x:c r="K203" s="14"/>
      <x:c r="L203" s="14"/>
      <x:c r="M203" s="14"/>
      <x:c r="N203" s="14"/>
      <x:c r="O203" s="14"/>
      <x:c r="P203" s="14"/>
    </x:row>
    <x:row r="204">
      <x:c r="A204" s="14"/>
      <x:c r="B204" s="14"/>
      <x:c r="C204" s="14"/>
      <x:c r="D204" s="14"/>
      <x:c r="E204" s="14"/>
      <x:c r="F204" s="14"/>
      <x:c r="G204" s="14"/>
      <x:c r="H204" s="14"/>
      <x:c r="I204" s="14"/>
      <x:c r="J204" s="14"/>
      <x:c r="K204" s="14"/>
      <x:c r="L204" s="14"/>
      <x:c r="M204" s="14"/>
      <x:c r="N204" s="14"/>
      <x:c r="O204" s="14"/>
      <x:c r="P204" s="14"/>
    </x:row>
    <x:row r="205">
      <x:c r="A205" s="14"/>
      <x:c r="B205" s="14"/>
      <x:c r="C205" s="14"/>
      <x:c r="D205" s="14"/>
      <x:c r="E205" s="14"/>
      <x:c r="F205" s="14"/>
      <x:c r="G205" s="14"/>
      <x:c r="H205" s="14"/>
      <x:c r="I205" s="14"/>
      <x:c r="J205" s="14"/>
      <x:c r="K205" s="14"/>
      <x:c r="L205" s="14"/>
      <x:c r="M205" s="14"/>
      <x:c r="N205" s="14"/>
      <x:c r="O205" s="14"/>
      <x:c r="P205" s="14"/>
    </x:row>
    <x:row r="206">
      <x:c r="A206" s="14"/>
      <x:c r="B206" s="14"/>
      <x:c r="C206" s="14"/>
      <x:c r="D206" s="14"/>
      <x:c r="E206" s="14"/>
      <x:c r="F206" s="14"/>
      <x:c r="G206" s="14"/>
      <x:c r="H206" s="14"/>
      <x:c r="I206" s="14"/>
      <x:c r="J206" s="14"/>
      <x:c r="K206" s="14"/>
      <x:c r="L206" s="14"/>
      <x:c r="M206" s="14"/>
      <x:c r="N206" s="14"/>
      <x:c r="O206" s="14"/>
      <x:c r="P206" s="14"/>
    </x:row>
    <x:row r="207">
      <x:c r="A207" s="14"/>
      <x:c r="B207" s="14"/>
      <x:c r="C207" s="14"/>
      <x:c r="D207" s="14"/>
      <x:c r="E207" s="14"/>
      <x:c r="F207" s="14"/>
      <x:c r="G207" s="14"/>
      <x:c r="H207" s="14"/>
      <x:c r="I207" s="14"/>
      <x:c r="J207" s="14"/>
      <x:c r="K207" s="14"/>
      <x:c r="L207" s="14"/>
      <x:c r="M207" s="14"/>
      <x:c r="N207" s="14"/>
      <x:c r="O207" s="14"/>
      <x:c r="P207" s="14"/>
    </x:row>
    <x:row r="208">
      <x:c r="A208" s="14"/>
      <x:c r="B208" s="14"/>
      <x:c r="C208" s="14"/>
      <x:c r="D208" s="14"/>
      <x:c r="E208" s="14"/>
      <x:c r="F208" s="14"/>
      <x:c r="G208" s="14"/>
      <x:c r="H208" s="14"/>
      <x:c r="I208" s="14"/>
      <x:c r="J208" s="14"/>
      <x:c r="K208" s="14"/>
      <x:c r="L208" s="14"/>
      <x:c r="M208" s="14"/>
      <x:c r="N208" s="14"/>
      <x:c r="O208" s="14"/>
      <x:c r="P208" s="14"/>
    </x:row>
    <x:row r="209">
      <x:c r="A209" s="14"/>
      <x:c r="B209" s="14"/>
      <x:c r="C209" s="14"/>
      <x:c r="D209" s="14"/>
      <x:c r="E209" s="14"/>
      <x:c r="F209" s="14"/>
      <x:c r="G209" s="14"/>
      <x:c r="H209" s="14"/>
      <x:c r="I209" s="14"/>
      <x:c r="J209" s="14"/>
      <x:c r="K209" s="14"/>
      <x:c r="L209" s="14"/>
      <x:c r="M209" s="14"/>
      <x:c r="N209" s="14"/>
      <x:c r="O209" s="14"/>
      <x:c r="P209" s="14"/>
    </x:row>
    <x:row r="210">
      <x:c r="A210" s="14"/>
      <x:c r="B210" s="14"/>
      <x:c r="C210" s="14"/>
      <x:c r="D210" s="14"/>
      <x:c r="E210" s="14"/>
      <x:c r="F210" s="14"/>
      <x:c r="G210" s="14"/>
      <x:c r="H210" s="14"/>
      <x:c r="I210" s="14"/>
      <x:c r="J210" s="14"/>
      <x:c r="K210" s="14"/>
      <x:c r="L210" s="14"/>
      <x:c r="M210" s="14"/>
      <x:c r="N210" s="14"/>
      <x:c r="O210" s="14"/>
      <x:c r="P210" s="14"/>
    </x:row>
    <x:row r="211">
      <x:c r="A211" s="14"/>
      <x:c r="B211" s="14"/>
      <x:c r="C211" s="14"/>
      <x:c r="D211" s="14"/>
      <x:c r="E211" s="14"/>
      <x:c r="F211" s="14"/>
      <x:c r="G211" s="14"/>
      <x:c r="H211" s="14"/>
      <x:c r="I211" s="14"/>
      <x:c r="J211" s="14"/>
      <x:c r="K211" s="14"/>
      <x:c r="L211" s="14"/>
      <x:c r="M211" s="14"/>
      <x:c r="N211" s="14"/>
      <x:c r="O211" s="14"/>
      <x:c r="P211" s="14"/>
    </x:row>
    <x:row r="212">
      <x:c r="A212" s="14"/>
      <x:c r="B212" s="14"/>
      <x:c r="C212" s="14"/>
      <x:c r="D212" s="14"/>
      <x:c r="E212" s="14"/>
      <x:c r="F212" s="14"/>
      <x:c r="G212" s="14"/>
      <x:c r="H212" s="14"/>
      <x:c r="I212" s="14"/>
      <x:c r="J212" s="14"/>
      <x:c r="K212" s="14"/>
      <x:c r="L212" s="14"/>
      <x:c r="M212" s="14"/>
      <x:c r="N212" s="14"/>
      <x:c r="O212" s="14"/>
      <x:c r="P212" s="14"/>
    </x:row>
    <x:row r="213">
      <x:c r="A213" s="14"/>
      <x:c r="B213" s="14"/>
      <x:c r="C213" s="14"/>
      <x:c r="D213" s="14"/>
      <x:c r="E213" s="14"/>
      <x:c r="F213" s="14"/>
      <x:c r="G213" s="14"/>
      <x:c r="H213" s="14"/>
      <x:c r="I213" s="14"/>
      <x:c r="J213" s="14"/>
      <x:c r="K213" s="14"/>
      <x:c r="L213" s="14"/>
      <x:c r="M213" s="14"/>
      <x:c r="N213" s="14"/>
      <x:c r="O213" s="14"/>
      <x:c r="P213" s="14"/>
    </x:row>
    <x:row r="214">
      <x:c r="A214" s="14"/>
      <x:c r="B214" s="14"/>
      <x:c r="C214" s="14"/>
      <x:c r="D214" s="14"/>
      <x:c r="E214" s="14"/>
      <x:c r="F214" s="14"/>
      <x:c r="G214" s="14"/>
      <x:c r="H214" s="14"/>
      <x:c r="I214" s="14"/>
      <x:c r="J214" s="14"/>
      <x:c r="K214" s="14"/>
      <x:c r="L214" s="14"/>
      <x:c r="M214" s="14"/>
      <x:c r="N214" s="14"/>
      <x:c r="O214" s="14"/>
      <x:c r="P214" s="14"/>
    </x:row>
    <x:row r="215">
      <x:c r="A215" s="14"/>
      <x:c r="B215" s="14"/>
      <x:c r="C215" s="14"/>
      <x:c r="D215" s="14"/>
      <x:c r="E215" s="14"/>
      <x:c r="F215" s="14"/>
      <x:c r="G215" s="14"/>
      <x:c r="H215" s="14"/>
      <x:c r="I215" s="14"/>
      <x:c r="J215" s="14"/>
      <x:c r="K215" s="14"/>
      <x:c r="L215" s="14"/>
      <x:c r="M215" s="14"/>
      <x:c r="N215" s="14"/>
      <x:c r="O215" s="14"/>
      <x:c r="P215" s="14"/>
    </x:row>
    <x:row r="216">
      <x:c r="A216" s="14"/>
      <x:c r="B216" s="14"/>
      <x:c r="C216" s="14"/>
      <x:c r="D216" s="14"/>
      <x:c r="E216" s="14"/>
      <x:c r="F216" s="14"/>
      <x:c r="G216" s="14"/>
      <x:c r="H216" s="14"/>
      <x:c r="I216" s="14"/>
      <x:c r="J216" s="14"/>
      <x:c r="K216" s="14"/>
      <x:c r="L216" s="14"/>
      <x:c r="M216" s="14"/>
      <x:c r="N216" s="14"/>
      <x:c r="O216" s="14"/>
      <x:c r="P216" s="14"/>
    </x:row>
    <x:row r="217">
      <x:c r="A217" s="14"/>
      <x:c r="B217" s="14"/>
      <x:c r="C217" s="14"/>
      <x:c r="D217" s="14"/>
      <x:c r="E217" s="14"/>
      <x:c r="F217" s="14"/>
      <x:c r="G217" s="14"/>
      <x:c r="H217" s="14"/>
      <x:c r="I217" s="14"/>
      <x:c r="J217" s="14"/>
      <x:c r="K217" s="14"/>
      <x:c r="L217" s="14"/>
      <x:c r="M217" s="14"/>
      <x:c r="N217" s="14"/>
      <x:c r="O217" s="14"/>
      <x:c r="P217" s="14"/>
    </x:row>
    <x:row r="218">
      <x:c r="A218" s="14"/>
      <x:c r="B218" s="14"/>
      <x:c r="C218" s="14"/>
      <x:c r="D218" s="14"/>
      <x:c r="E218" s="14"/>
      <x:c r="F218" s="14"/>
      <x:c r="G218" s="14"/>
      <x:c r="H218" s="14"/>
      <x:c r="I218" s="14"/>
      <x:c r="J218" s="14"/>
      <x:c r="K218" s="14"/>
      <x:c r="L218" s="14"/>
      <x:c r="M218" s="14"/>
      <x:c r="N218" s="14"/>
      <x:c r="O218" s="14"/>
      <x:c r="P218" s="14"/>
    </x:row>
    <x:row r="219">
      <x:c r="A219" s="14"/>
      <x:c r="B219" s="14"/>
      <x:c r="C219" s="14"/>
      <x:c r="D219" s="14"/>
      <x:c r="E219" s="14"/>
      <x:c r="F219" s="14"/>
      <x:c r="G219" s="14"/>
      <x:c r="H219" s="14"/>
      <x:c r="I219" s="14"/>
      <x:c r="J219" s="14"/>
      <x:c r="K219" s="14"/>
      <x:c r="L219" s="14"/>
      <x:c r="M219" s="14"/>
      <x:c r="N219" s="14"/>
      <x:c r="O219" s="14"/>
      <x:c r="P219" s="14"/>
    </x:row>
    <x:row r="220">
      <x:c r="A220" s="14"/>
      <x:c r="B220" s="14"/>
      <x:c r="C220" s="14"/>
      <x:c r="D220" s="14"/>
      <x:c r="E220" s="14"/>
      <x:c r="F220" s="14"/>
      <x:c r="G220" s="14"/>
      <x:c r="H220" s="14"/>
      <x:c r="I220" s="14"/>
      <x:c r="J220" s="14"/>
      <x:c r="K220" s="14"/>
      <x:c r="L220" s="14"/>
      <x:c r="M220" s="14"/>
      <x:c r="N220" s="14"/>
      <x:c r="O220" s="14"/>
      <x:c r="P220" s="14"/>
    </x:row>
  </x:sheetData>
  <x:conditionalFormatting sqref="L2:L220">
    <x:cfRule type="expression" dxfId="0" priority="1">
      <x:formula>L2="In Place"</x:formula>
    </x:cfRule>
    <x:cfRule type="expression" dxfId="1" priority="2">
      <x:formula>L2="Partial"</x:formula>
    </x:cfRule>
    <x:cfRule type="expression" dxfId="2" priority="3">
      <x:formula>L2="Not in Place"</x:formula>
    </x:cfRule>
  </x:conditionalFormatting>
  <x:conditionalFormatting sqref="M2:M57">
    <x:cfRule type="colorScale" priority="4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dataValidations count="4">
    <x:dataValidation type="list" sqref="L2:L220">
      <x:formula1>"Not Assessed,In Place,Partial,Not in Place,Not Applicable"</x:formula1>
    </x:dataValidation>
    <x:dataValidation type="list" sqref="M2:M220">
      <x:formula1>"0,1,2,3,4"</x:formula1>
    </x:dataValidation>
    <x:dataValidation type="list" sqref="L2:L57">
      <x:formula1>"Not Assessed,Compliant,Partially Compliant,Non-Compliant,Not Applicable"</x:formula1>
    </x:dataValidation>
    <x:dataValidation type="list" sqref="M2:M57">
      <x:formula1>"0,1,2,3,4"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0" hidden="0" customWidth="1"/>
    <x:col min="3" max="3" width="18" hidden="0" customWidth="1"/>
  </x:cols>
  <x:sheetData>
    <x:row r="1">
      <x:c r="A1" s="37" t="str">
        <x:v>PRISM — AWS Well-Architected Self-Audit Readiness Framework</x:v>
      </x:c>
      <x:c r="B1" s="37"/>
      <x:c r="C1" s="37"/>
      <x:c r="D1" s="37"/>
      <x:c r="E1" s="37"/>
      <x:c r="F1" s="37"/>
    </x:row>
    <x:row r="2">
      <x:c r="A2" s="12"/>
      <x:c r="B2" s="12"/>
      <x:c r="C2" s="12"/>
      <x:c r="D2" s="12"/>
      <x:c r="E2" s="12"/>
      <x:c r="F2" s="12"/>
    </x:row>
    <x:row r="3">
      <x:c r="A3" s="28" t="str">
        <x:v>Metric</x:v>
      </x:c>
      <x:c r="B3" s="28" t="str">
        <x:v>Value</x:v>
      </x:c>
      <x:c r="C3" s="12"/>
      <x:c r="D3" s="12"/>
      <x:c r="E3" s="12"/>
      <x:c r="F3" s="12"/>
    </x:row>
    <x:row r="4">
      <x:c r="A4" s="12" t="str">
        <x:v>Framework</x:v>
      </x:c>
      <x:c r="B4" s="12" t="str">
        <x:v>AWS Well-Architected Framework</x:v>
      </x:c>
      <x:c r="C4" s="12"/>
      <x:c r="D4" s="12"/>
      <x:c r="E4" s="12"/>
      <x:c r="F4" s="12"/>
    </x:row>
    <x:row r="5">
      <x:c r="A5" s="12" t="str">
        <x:v>Pillars</x:v>
      </x:c>
      <x:c r="B5" s="12" t="n">
        <x:v>6</x:v>
      </x:c>
      <x:c r="C5" s="12"/>
      <x:c r="D5" s="12"/>
      <x:c r="E5" s="12"/>
      <x:c r="F5" s="12"/>
    </x:row>
    <x:row r="6">
      <x:c r="A6" s="12" t="str">
        <x:v>Core assessment questions</x:v>
      </x:c>
      <x:c r="B6" s="12" t="n">
        <x:v>56</x:v>
      </x:c>
      <x:c r="C6" s="12"/>
      <x:c r="D6" s="12"/>
      <x:c r="E6" s="12"/>
      <x:c r="F6" s="12"/>
    </x:row>
    <x:row r="7">
      <x:c r="A7" s="12" t="str">
        <x:v>Scoring</x:v>
      </x:c>
      <x:c r="B7" s="12" t="str">
        <x:v>0 Not implemented | 1 Initial | 2 Defined | 3 Implemented | 4 Optimized</x:v>
      </x:c>
      <x:c r="C7" s="12"/>
      <x:c r="D7" s="12"/>
      <x:c r="E7" s="12"/>
      <x:c r="F7" s="12"/>
    </x:row>
    <x:row r="8">
      <x:c r="A8" s="12" t="str">
        <x:v>Overall readiness score</x:v>
      </x:c>
      <x:c r="B8" s="12" t="n">
        <x:f>IFERROR(AVERAGE('AWS WAF Audit Framework'!M2:M57),0)</x:f>
        <x:v>0</x:v>
      </x:c>
      <x:c r="C8" s="12"/>
      <x:c r="D8" s="12"/>
      <x:c r="E8" s="12"/>
      <x:c r="F8" s="12"/>
    </x:row>
    <x:row r="9">
      <x:c r="A9" s="12" t="str">
        <x:v>Overall readiness %</x:v>
      </x:c>
      <x:c r="B9" s="29" t="n">
        <x:f>B8/4</x:f>
        <x:v>0</x:v>
      </x:c>
      <x:c r="C9" s="12"/>
      <x:c r="D9" s="12"/>
      <x:c r="E9" s="12"/>
      <x:c r="F9" s="12"/>
    </x:row>
    <x:row r="10">
      <x:c r="A10" s="12"/>
      <x:c r="B10" s="12"/>
      <x:c r="C10" s="12"/>
      <x:c r="D10" s="12"/>
      <x:c r="E10" s="12"/>
      <x:c r="F10" s="12"/>
    </x:row>
    <x:row r="11">
      <x:c r="A11" s="32" t="str">
        <x:v>Pillar</x:v>
      </x:c>
      <x:c r="B11" s="32" t="str">
        <x:v>Questions</x:v>
      </x:c>
      <x:c r="C11" s="32" t="str">
        <x:v>Average Score</x:v>
      </x:c>
      <x:c r="D11" s="12"/>
      <x:c r="E11" s="12"/>
      <x:c r="F11" s="12"/>
    </x:row>
    <x:row r="12">
      <x:c r="A12" s="12" t="str">
        <x:v>Operational Excellence</x:v>
      </x:c>
      <x:c r="B12" s="12" t="n">
        <x:v>11</x:v>
      </x:c>
      <x:c r="C12" s="36" t="n">
        <x:f>IFERROR(AVERAGE('AWS WAF Audit Framework'!M2:M12),0)</x:f>
        <x:v>0</x:v>
      </x:c>
      <x:c r="D12" s="12"/>
      <x:c r="E12" s="12"/>
      <x:c r="F12" s="12"/>
    </x:row>
    <x:row r="13">
      <x:c r="A13" s="22" t="str">
        <x:v>Security</x:v>
      </x:c>
      <x:c r="B13" s="22" t="n">
        <x:v>10</x:v>
      </x:c>
      <x:c r="C13" s="35" t="n">
        <x:f>IFERROR(AVERAGE('AWS WAF Audit Framework'!M13:M22),0)</x:f>
        <x:v>0</x:v>
      </x:c>
      <x:c r="D13" s="12"/>
      <x:c r="E13" s="12"/>
      <x:c r="F13" s="12"/>
    </x:row>
    <x:row r="14">
      <x:c r="A14" s="12" t="str">
        <x:v>Reliability</x:v>
      </x:c>
      <x:c r="B14" s="12" t="n">
        <x:v>13</x:v>
      </x:c>
      <x:c r="C14" s="36" t="n">
        <x:f>IFERROR(AVERAGE('AWS WAF Audit Framework'!M23:M35),0)</x:f>
        <x:v>0</x:v>
      </x:c>
      <x:c r="D14" s="12"/>
      <x:c r="E14" s="12"/>
      <x:c r="F14" s="12"/>
    </x:row>
    <x:row r="15">
      <x:c r="A15" s="12" t="str">
        <x:v>Performance Efficiency</x:v>
      </x:c>
      <x:c r="B15" s="12" t="n">
        <x:v>5</x:v>
      </x:c>
      <x:c r="C15" s="36" t="n">
        <x:f>IFERROR(AVERAGE('AWS WAF Audit Framework'!M36:M40),0)</x:f>
        <x:v>0</x:v>
      </x:c>
      <x:c r="D15" s="12"/>
      <x:c r="E15" s="12"/>
      <x:c r="F15" s="12"/>
    </x:row>
    <x:row r="16">
      <x:c r="A16" s="12" t="str">
        <x:v>Cost Optimization</x:v>
      </x:c>
      <x:c r="B16" s="12" t="n">
        <x:v>11</x:v>
      </x:c>
      <x:c r="C16" s="36" t="n">
        <x:f>IFERROR(AVERAGE('AWS WAF Audit Framework'!M41:M51),0)</x:f>
        <x:v>0</x:v>
      </x:c>
      <x:c r="D16" s="12"/>
      <x:c r="E16" s="12"/>
      <x:c r="F16" s="12"/>
    </x:row>
    <x:row r="17">
      <x:c r="A17" s="12" t="str">
        <x:v>Sustainability</x:v>
      </x:c>
      <x:c r="B17" s="12" t="n">
        <x:v>6</x:v>
      </x:c>
      <x:c r="C17" s="36" t="n">
        <x:f>IFERROR(AVERAGE('AWS WAF Audit Framework'!M52:M57),0)</x:f>
        <x:v>0</x:v>
      </x:c>
      <x:c r="D17" s="12"/>
      <x:c r="E17" s="12"/>
      <x:c r="F17" s="12"/>
    </x:row>
    <x:row r="18">
      <x:c r="A18" s="12"/>
      <x:c r="B18" s="12"/>
      <x:c r="C18" s="12"/>
      <x:c r="D18" s="12"/>
      <x:c r="E18" s="12"/>
      <x:c r="F18" s="12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48" hidden="0" customWidth="1"/>
    <x:col min="4" max="4" width="36" hidden="0" customWidth="1"/>
    <x:col min="5" max="5" width="20" hidden="0" customWidth="1"/>
    <x:col min="6" max="6" width="44" hidden="0" customWidth="1"/>
    <x:col min="7" max="7" width="18" hidden="0" customWidth="1"/>
  </x:cols>
  <x:sheetData>
    <x:row r="1">
      <x:c r="A1" s="32" t="str">
        <x:v>AWS WAF Pillar</x:v>
      </x:c>
      <x:c r="B1" s="32" t="str">
        <x:v>Evidence / Control Type</x:v>
      </x:c>
      <x:c r="C1" s="32" t="str">
        <x:v>Primary AWS Services / Sources</x:v>
      </x:c>
      <x:c r="D1" s="32" t="str">
        <x:v>PRISM Connector / API Direction</x:v>
      </x:c>
      <x:c r="E1" s="32" t="str">
        <x:v>Automation Potential</x:v>
      </x:c>
      <x:c r="F1" s="32" t="str">
        <x:v>Typical Evidence</x:v>
      </x:c>
      <x:c r="G1" s="32" t="str">
        <x:v>Assessment Use</x:v>
      </x:c>
    </x:row>
    <x:row r="2">
      <x:c r="A2" s="12" t="str">
        <x:v>Operational Excellence</x:v>
      </x:c>
      <x:c r="B2" s="12" t="str">
        <x:v>Observability &amp; operations</x:v>
      </x:c>
      <x:c r="C2" s="12" t="str">
        <x:v>CloudWatch; X-Ray; CloudTrail; Systems Manager</x:v>
      </x:c>
      <x:c r="D2" s="12" t="str">
        <x:v>AWS APIs / CloudWatch / CloudTrail</x:v>
      </x:c>
      <x:c r="E2" s="12" t="str">
        <x:v>High</x:v>
      </x:c>
      <x:c r="F2" s="12" t="str">
        <x:v>Metrics, alarms, logs, runbooks, automation records</x:v>
      </x:c>
      <x:c r="G2" s="12" t="str">
        <x:v>OPS 4–11</x:v>
      </x:c>
    </x:row>
    <x:row r="3">
      <x:c r="A3" s="12" t="str">
        <x:v>Operational Excellence</x:v>
      </x:c>
      <x:c r="B3" s="12" t="str">
        <x:v>IaC / change</x:v>
      </x:c>
      <x:c r="C3" s="12" t="str">
        <x:v>CloudFormation; CodePipeline; CodeBuild; Systems Manager</x:v>
      </x:c>
      <x:c r="D3" s="12" t="str">
        <x:v>AWS APIs + GitHub/DevOps connector</x:v>
      </x:c>
      <x:c r="E3" s="12" t="str">
        <x:v>High</x:v>
      </x:c>
      <x:c r="F3" s="12" t="str">
        <x:v>Templates, deployment history, approvals, change records</x:v>
      </x:c>
      <x:c r="G3" s="12" t="str">
        <x:v>OPS 5–7</x:v>
      </x:c>
    </x:row>
    <x:row r="4">
      <x:c r="A4" s="12" t="str">
        <x:v>Security</x:v>
      </x:c>
      <x:c r="B4" s="12" t="str">
        <x:v>Identity &amp; access</x:v>
      </x:c>
      <x:c r="C4" s="12" t="str">
        <x:v>IAM; IAM Identity Center; Organizations; Control Tower</x:v>
      </x:c>
      <x:c r="D4" s="12" t="str">
        <x:v>IAM / Organizations APIs</x:v>
      </x:c>
      <x:c r="E4" s="12" t="str">
        <x:v>High</x:v>
      </x:c>
      <x:c r="F4" s="12" t="str">
        <x:v>MFA, roles, policies, SCPs, account structure</x:v>
      </x:c>
      <x:c r="G4" s="12" t="str">
        <x:v>SEC 1–3</x:v>
      </x:c>
    </x:row>
    <x:row r="5">
      <x:c r="A5" s="12" t="str">
        <x:v>Security</x:v>
      </x:c>
      <x:c r="B5" s="12" t="str">
        <x:v>Detection &amp; posture</x:v>
      </x:c>
      <x:c r="C5" s="12" t="str">
        <x:v>Security Hub; GuardDuty; Config; Inspector; CloudTrail</x:v>
      </x:c>
      <x:c r="D5" s="12" t="str">
        <x:v>Security Hub / GuardDuty / Config APIs</x:v>
      </x:c>
      <x:c r="E5" s="12" t="str">
        <x:v>High</x:v>
      </x:c>
      <x:c r="F5" s="12" t="str">
        <x:v>Findings, rules, compliance state, audit trails</x:v>
      </x:c>
      <x:c r="G5" s="12" t="str">
        <x:v>SEC 4–6</x:v>
      </x:c>
    </x:row>
    <x:row r="6">
      <x:c r="A6" s="12" t="str">
        <x:v>Security</x:v>
      </x:c>
      <x:c r="B6" s="12" t="str">
        <x:v>Data protection</x:v>
      </x:c>
      <x:c r="C6" s="12" t="str">
        <x:v>KMS; ACM; Macie; S3 controls</x:v>
      </x:c>
      <x:c r="D6" s="12" t="str">
        <x:v>KMS / ACM / Macie / S3 APIs</x:v>
      </x:c>
      <x:c r="E6" s="12" t="str">
        <x:v>High</x:v>
      </x:c>
      <x:c r="F6" s="12" t="str">
        <x:v>Encryption, key rotation, certificates, classifications</x:v>
      </x:c>
      <x:c r="G6" s="12" t="str">
        <x:v>SEC 7–9</x:v>
      </x:c>
    </x:row>
    <x:row r="7">
      <x:c r="A7" s="12" t="str">
        <x:v>Reliability</x:v>
      </x:c>
      <x:c r="B7" s="12" t="str">
        <x:v>Quotas &amp; topology</x:v>
      </x:c>
      <x:c r="C7" s="12" t="str">
        <x:v>Service Quotas; VPC; Transit Gateway; Direct Connect; Route 53; ELB</x:v>
      </x:c>
      <x:c r="D7" s="12" t="str">
        <x:v>AWS infrastructure APIs</x:v>
      </x:c>
      <x:c r="E7" s="12" t="str">
        <x:v>High</x:v>
      </x:c>
      <x:c r="F7" s="12" t="str">
        <x:v>Quota usage, topology, HA configuration</x:v>
      </x:c>
      <x:c r="G7" s="12" t="str">
        <x:v>REL 1–5</x:v>
      </x:c>
    </x:row>
    <x:row r="8">
      <x:c r="A8" s="12" t="str">
        <x:v>Reliability</x:v>
      </x:c>
      <x:c r="B8" s="12" t="str">
        <x:v>Scaling &amp; monitoring</x:v>
      </x:c>
      <x:c r="C8" s="12" t="str">
        <x:v>CloudWatch; Auto Scaling; ELB</x:v>
      </x:c>
      <x:c r="D8" s="12" t="str">
        <x:v>CloudWatch / Auto Scaling APIs</x:v>
      </x:c>
      <x:c r="E8" s="12" t="str">
        <x:v>High</x:v>
      </x:c>
      <x:c r="F8" s="12" t="str">
        <x:v>Alarms, scaling policies, capacity history</x:v>
      </x:c>
      <x:c r="G8" s="12" t="str">
        <x:v>REL 6–8</x:v>
      </x:c>
    </x:row>
    <x:row r="9">
      <x:c r="A9" s="12" t="str">
        <x:v>Reliability</x:v>
      </x:c>
      <x:c r="B9" s="12" t="str">
        <x:v>Backup &amp; DR</x:v>
      </x:c>
      <x:c r="C9" s="12" t="str">
        <x:v>AWS Backup; RDS; S3; Elastic Disaster Recovery</x:v>
      </x:c>
      <x:c r="D9" s="12" t="str">
        <x:v>Backup / RDS / DRS APIs + manual tests</x:v>
      </x:c>
      <x:c r="E9" s="12" t="str">
        <x:v>High</x:v>
      </x:c>
      <x:c r="F9" s="12" t="str">
        <x:v>Backup plans, recovery points, restore tests, DR results</x:v>
      </x:c>
      <x:c r="G9" s="12" t="str">
        <x:v>REL 9–13</x:v>
      </x:c>
    </x:row>
    <x:row r="10">
      <x:c r="A10" s="12" t="str">
        <x:v>Performance Efficiency</x:v>
      </x:c>
      <x:c r="B10" s="12" t="str">
        <x:v>Resource efficiency</x:v>
      </x:c>
      <x:c r="C10" s="12" t="str">
        <x:v>CloudWatch; Compute Optimizer; Trusted Advisor; X-Ray</x:v>
      </x:c>
      <x:c r="D10" s="12" t="str">
        <x:v>CloudWatch / Compute Optimizer APIs</x:v>
      </x:c>
      <x:c r="E10" s="12" t="str">
        <x:v>High</x:v>
      </x:c>
      <x:c r="F10" s="12" t="str">
        <x:v>Utilization, recommendations, latency and performance metrics</x:v>
      </x:c>
      <x:c r="G10" s="12" t="str">
        <x:v>PERF 1–5</x:v>
      </x:c>
    </x:row>
    <x:row r="11">
      <x:c r="A11" s="12" t="str">
        <x:v>Cost Optimization</x:v>
      </x:c>
      <x:c r="B11" s="12" t="str">
        <x:v>FinOps &amp; usage</x:v>
      </x:c>
      <x:c r="C11" s="12" t="str">
        <x:v>Cost Explorer; CUR; Budgets; Cost Anomaly Detection; Compute Optimizer</x:v>
      </x:c>
      <x:c r="D11" s="12" t="str">
        <x:v>Cost Explorer / CUR / Budgets APIs</x:v>
      </x:c>
      <x:c r="E11" s="12" t="str">
        <x:v>High</x:v>
      </x:c>
      <x:c r="F11" s="12" t="str">
        <x:v>Spend, forecasts, anomalies, tags, rightsizing</x:v>
      </x:c>
      <x:c r="G11" s="12" t="str">
        <x:v>COST 1–11</x:v>
      </x:c>
    </x:row>
    <x:row r="12">
      <x:c r="A12" s="12" t="str">
        <x:v>Sustainability</x:v>
      </x:c>
      <x:c r="B12" s="12" t="str">
        <x:v>Resource utilization</x:v>
      </x:c>
      <x:c r="C12" s="12" t="str">
        <x:v>CloudWatch; Compute Optimizer; lifecycle policies</x:v>
      </x:c>
      <x:c r="D12" s="12" t="str">
        <x:v>AWS APIs + manual sustainability evidence</x:v>
      </x:c>
      <x:c r="E12" s="12" t="str">
        <x:v>Medium</x:v>
      </x:c>
      <x:c r="F12" s="12" t="str">
        <x:v>Utilization, scaling, lifecycle policies, sustainability evidence</x:v>
      </x:c>
      <x:c r="G12" s="12" t="str">
        <x:v>SUS 1–6</x:v>
      </x:c>
    </x:row>
    <x:row r="13">
      <x:c r="A13" s="12"/>
      <x:c r="B13" s="12"/>
      <x:c r="C13" s="12"/>
      <x:c r="D13" s="12"/>
      <x:c r="E13" s="12"/>
      <x:c r="F13" s="12"/>
      <x:c r="G13" s="12"/>
    </x:row>
    <x:row r="14">
      <x:c r="A14" s="12"/>
      <x:c r="B14" s="12"/>
      <x:c r="C14" s="12"/>
      <x:c r="D14" s="12"/>
      <x:c r="E14" s="12"/>
      <x:c r="F14" s="12"/>
      <x:c r="G14" s="12"/>
    </x:row>
    <x:row r="15">
      <x:c r="A15" s="12"/>
      <x:c r="B15" s="12"/>
      <x:c r="C15" s="12"/>
      <x:c r="D15" s="12"/>
      <x:c r="E15" s="12"/>
      <x:c r="F15" s="12"/>
      <x:c r="G15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8" hidden="0" customWidth="1"/>
    <x:col min="3" max="3" width="80" hidden="0" customWidth="1"/>
  </x:cols>
  <x:sheetData>
    <x:row r="1">
      <x:c r="A1" s="32" t="str">
        <x:v>Source</x:v>
      </x:c>
      <x:c r="B1" s="32" t="str">
        <x:v>Use</x:v>
      </x:c>
      <x:c r="C1" s="32" t="str">
        <x:v>URL</x:v>
      </x:c>
    </x:row>
    <x:row r="2">
      <x:c r="A2" s="12" t="str">
        <x:v>AWS Well-Architected Framework</x:v>
      </x:c>
      <x:c r="B2" s="12" t="str">
        <x:v>Authoritative framework and six pillars</x:v>
      </x:c>
      <x:c r="C2" s="12" t="str">
        <x:v>https://docs.aws.amazon.com/wellarchitected/latest/framework/welcome.html</x:v>
      </x:c>
    </x:row>
    <x:row r="3">
      <x:c r="A3" s="12" t="str">
        <x:v>AWS WAF Appendix</x:v>
      </x:c>
      <x:c r="B3" s="12" t="str">
        <x:v>Questions and best practices</x:v>
      </x:c>
      <x:c r="C3" s="12" t="str">
        <x:v>https://docs.aws.amazon.com/wellarchitected/latest/framework/appendix.html</x:v>
      </x:c>
    </x:row>
    <x:row r="4">
      <x:c r="A4" s="12" t="str">
        <x:v>AWS Well-Architected Tool</x:v>
      </x:c>
      <x:c r="B4" s="12" t="str">
        <x:v>Review workflow</x:v>
      </x:c>
      <x:c r="C4" s="12" t="str">
        <x:v>https://docs.aws.amazon.com/wellarchitected/latest/userguide/waf.html</x:v>
      </x:c>
    </x:row>
    <x:row r="5">
      <x:c r="A5" s="12" t="str">
        <x:v>Operational Excellence Pillar</x:v>
      </x:c>
      <x:c r="B5" s="12" t="str">
        <x:v>Detailed pillar guidance</x:v>
      </x:c>
      <x:c r="C5" s="12" t="str">
        <x:v>https://docs.aws.amazon.com/wellarchitected/latest/operational-excellence-pillar/welcome.html</x:v>
      </x:c>
    </x:row>
    <x:row r="6">
      <x:c r="A6" s="12" t="str">
        <x:v>Security Pillar</x:v>
      </x:c>
      <x:c r="B6" s="12" t="str">
        <x:v>Detailed pillar guidance</x:v>
      </x:c>
      <x:c r="C6" s="12" t="str">
        <x:v>https://docs.aws.amazon.com/wellarchitected/latest/security-pillar/welcome.html</x:v>
      </x:c>
    </x:row>
    <x:row r="7">
      <x:c r="A7" s="12" t="str">
        <x:v>Reliability Pillar</x:v>
      </x:c>
      <x:c r="B7" s="12" t="str">
        <x:v>Detailed pillar guidance</x:v>
      </x:c>
      <x:c r="C7" s="12" t="str">
        <x:v>https://docs.aws.amazon.com/wellarchitected/latest/reliability-pillar/welcome.html</x:v>
      </x:c>
    </x:row>
    <x:row r="8">
      <x:c r="A8" s="12" t="str">
        <x:v>Performance Efficiency Pillar</x:v>
      </x:c>
      <x:c r="B8" s="12" t="str">
        <x:v>Detailed pillar guidance</x:v>
      </x:c>
      <x:c r="C8" s="12" t="str">
        <x:v>https://docs.aws.amazon.com/wellarchitected/latest/performance-efficiency-pillar/welcome.html</x:v>
      </x:c>
    </x:row>
    <x:row r="9">
      <x:c r="A9" s="12" t="str">
        <x:v>Cost Optimization Pillar</x:v>
      </x:c>
      <x:c r="B9" s="12" t="str">
        <x:v>Detailed pillar guidance</x:v>
      </x:c>
      <x:c r="C9" s="12" t="str">
        <x:v>https://docs.aws.amazon.com/wellarchitected/latest/cost-optimization-pillar/welcome.html</x:v>
      </x:c>
    </x:row>
    <x:row r="10">
      <x:c r="A10" s="12" t="str">
        <x:v>Sustainability Pillar</x:v>
      </x:c>
      <x:c r="B10" s="12" t="str">
        <x:v>Detailed pillar guidance</x:v>
      </x:c>
      <x:c r="C10" s="12" t="str">
        <x:v>https://docs.aws.amazon.com/wellarchitected/latest/sustainability-pillar/welcome.html</x:v>
      </x:c>
    </x:row>
  </x:sheetData>
  <x:pageMargins left="0.7" right="0.7" top="0.75" bottom="0.75" header="0.3" footer="0.3"/>
</x:worksheet>
</file>